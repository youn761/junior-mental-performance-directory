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ge\Documents\Directorybiz\Junior Sports Psych\junior-mental-directory\"/>
    </mc:Choice>
  </mc:AlternateContent>
  <xr:revisionPtr revIDLastSave="0" documentId="13_ncr:1_{7E15CF7F-42CB-45DB-92CA-FF783694C29C}" xr6:coauthVersionLast="47" xr6:coauthVersionMax="47" xr10:uidLastSave="{00000000-0000-0000-0000-000000000000}"/>
  <bookViews>
    <workbookView xWindow="-120" yWindow="-120" windowWidth="20730" windowHeight="11040" xr2:uid="{D4FB11C8-FA28-4BC0-9A79-4EF522410D75}"/>
  </bookViews>
  <sheets>
    <sheet name="Sheet1" sheetId="1" r:id="rId1"/>
    <sheet name="Sheet6" sheetId="6" r:id="rId2"/>
    <sheet name="Sheet3" sheetId="3" r:id="rId3"/>
    <sheet name="Sheet2" sheetId="2" r:id="rId4"/>
    <sheet name="Sheet4" sheetId="4" r:id="rId5"/>
    <sheet name="Sheet5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6" l="1" a="1"/>
  <c r="B38" i="6" s="1"/>
  <c r="E38" i="6" a="1"/>
  <c r="E38" i="6" s="1"/>
  <c r="H38" i="6" a="1"/>
  <c r="H38" i="6" s="1"/>
  <c r="B39" i="6" a="1"/>
  <c r="B39" i="6" s="1"/>
  <c r="E39" i="6" a="1"/>
  <c r="E39" i="6"/>
  <c r="H39" i="6" a="1"/>
  <c r="H39" i="6" s="1"/>
  <c r="B40" i="6" a="1"/>
  <c r="B40" i="6" s="1"/>
  <c r="E40" i="6" a="1"/>
  <c r="E40" i="6" s="1"/>
  <c r="H40" i="6" a="1"/>
  <c r="H40" i="6" s="1"/>
  <c r="B41" i="6" a="1"/>
  <c r="B41" i="6" s="1"/>
  <c r="E41" i="6" a="1"/>
  <c r="E41" i="6" s="1"/>
  <c r="H41" i="6" a="1"/>
  <c r="H41" i="6" s="1"/>
  <c r="B42" i="6" a="1"/>
  <c r="B42" i="6" s="1"/>
  <c r="E42" i="6" a="1"/>
  <c r="E42" i="6" s="1"/>
  <c r="H42" i="6" a="1"/>
  <c r="H42" i="6" s="1"/>
  <c r="B43" i="6" a="1"/>
  <c r="B43" i="6" s="1"/>
  <c r="E43" i="6" a="1"/>
  <c r="E43" i="6"/>
  <c r="H43" i="6" a="1"/>
  <c r="H43" i="6" s="1"/>
  <c r="B44" i="6" a="1"/>
  <c r="B44" i="6" s="1"/>
  <c r="E44" i="6" a="1"/>
  <c r="E44" i="6" s="1"/>
  <c r="H44" i="6" a="1"/>
  <c r="H44" i="6" s="1"/>
  <c r="B45" i="6" a="1"/>
  <c r="B45" i="6" s="1"/>
  <c r="E45" i="6" a="1"/>
  <c r="E45" i="6" s="1"/>
  <c r="H45" i="6" a="1"/>
  <c r="H45" i="6" s="1"/>
  <c r="B46" i="6" a="1"/>
  <c r="B46" i="6" s="1"/>
  <c r="E46" i="6" a="1"/>
  <c r="E46" i="6" s="1"/>
  <c r="H46" i="6" a="1"/>
  <c r="H46" i="6" s="1"/>
  <c r="B47" i="6" a="1"/>
  <c r="B47" i="6" s="1"/>
  <c r="E47" i="6" a="1"/>
  <c r="E47" i="6"/>
  <c r="H47" i="6" a="1"/>
  <c r="H47" i="6" s="1"/>
  <c r="B48" i="6" a="1"/>
  <c r="B48" i="6" s="1"/>
  <c r="E48" i="6" a="1"/>
  <c r="E48" i="6" s="1"/>
  <c r="H48" i="6" a="1"/>
  <c r="H48" i="6" s="1"/>
  <c r="B49" i="6" a="1"/>
  <c r="B49" i="6" s="1"/>
  <c r="E49" i="6" a="1"/>
  <c r="E49" i="6"/>
  <c r="H49" i="6" a="1"/>
  <c r="H49" i="6" s="1"/>
  <c r="B50" i="6" a="1"/>
  <c r="B50" i="6" s="1"/>
  <c r="E50" i="6" a="1"/>
  <c r="E50" i="6" s="1"/>
  <c r="H50" i="6" a="1"/>
  <c r="H50" i="6"/>
  <c r="B51" i="6" a="1"/>
  <c r="B51" i="6" s="1"/>
  <c r="E51" i="6" a="1"/>
  <c r="E51" i="6"/>
  <c r="H51" i="6" a="1"/>
  <c r="H51" i="6" s="1"/>
  <c r="B52" i="6" a="1"/>
  <c r="B52" i="6" s="1"/>
  <c r="E52" i="6" a="1"/>
  <c r="E52" i="6" s="1"/>
  <c r="H52" i="6" a="1"/>
  <c r="H52" i="6"/>
  <c r="B53" i="6" a="1"/>
  <c r="B53" i="6" s="1"/>
  <c r="E53" i="6" a="1"/>
  <c r="E53" i="6"/>
  <c r="H53" i="6" a="1"/>
  <c r="H53" i="6" s="1"/>
  <c r="B54" i="6" a="1"/>
  <c r="B54" i="6" s="1"/>
  <c r="E54" i="6" a="1"/>
  <c r="E54" i="6" s="1"/>
  <c r="H54" i="6" a="1"/>
  <c r="H54" i="6" s="1"/>
  <c r="B55" i="6" a="1"/>
  <c r="B55" i="6" s="1"/>
  <c r="E55" i="6" a="1"/>
  <c r="E55" i="6"/>
  <c r="H55" i="6" a="1"/>
  <c r="H55" i="6" s="1"/>
  <c r="B56" i="6" a="1"/>
  <c r="B56" i="6" s="1"/>
  <c r="E56" i="6" a="1"/>
  <c r="E56" i="6" s="1"/>
  <c r="H56" i="6" a="1"/>
  <c r="H56" i="6"/>
  <c r="B57" i="6" a="1"/>
  <c r="B57" i="6" s="1"/>
  <c r="E57" i="6" a="1"/>
  <c r="E57" i="6"/>
  <c r="H57" i="6" a="1"/>
  <c r="H57" i="6" s="1"/>
  <c r="B58" i="6" a="1"/>
  <c r="B58" i="6" s="1"/>
  <c r="E58" i="6" a="1"/>
  <c r="E58" i="6" s="1"/>
  <c r="H58" i="6" a="1"/>
  <c r="H58" i="6"/>
  <c r="B59" i="6" a="1"/>
  <c r="B59" i="6" s="1"/>
  <c r="E59" i="6" a="1"/>
  <c r="E59" i="6"/>
  <c r="H59" i="6" a="1"/>
  <c r="H59" i="6" s="1"/>
  <c r="B60" i="6" a="1"/>
  <c r="B60" i="6" s="1"/>
  <c r="E60" i="6" a="1"/>
  <c r="E60" i="6" s="1"/>
  <c r="H60" i="6" a="1"/>
  <c r="H60" i="6" s="1"/>
  <c r="B61" i="6" a="1"/>
  <c r="B61" i="6" s="1"/>
  <c r="E61" i="6" a="1"/>
  <c r="E61" i="6" s="1"/>
  <c r="H61" i="6" a="1"/>
  <c r="H61" i="6" s="1"/>
  <c r="B62" i="6" a="1"/>
  <c r="B62" i="6" s="1"/>
  <c r="E62" i="6" a="1"/>
  <c r="E62" i="6" s="1"/>
  <c r="H62" i="6" a="1"/>
  <c r="H62" i="6" s="1"/>
  <c r="B63" i="6" a="1"/>
  <c r="B63" i="6" s="1"/>
  <c r="E63" i="6" a="1"/>
  <c r="E63" i="6" s="1"/>
  <c r="H63" i="6" a="1"/>
  <c r="H63" i="6" s="1"/>
  <c r="B64" i="6" a="1"/>
  <c r="B64" i="6" s="1"/>
  <c r="E64" i="6" a="1"/>
  <c r="E64" i="6" s="1"/>
  <c r="H64" i="6" a="1"/>
  <c r="H64" i="6" s="1"/>
  <c r="B65" i="6" a="1"/>
  <c r="B65" i="6" s="1"/>
  <c r="E65" i="6" a="1"/>
  <c r="E65" i="6" s="1"/>
  <c r="H65" i="6" a="1"/>
  <c r="H65" i="6" s="1"/>
  <c r="B66" i="6" a="1"/>
  <c r="B66" i="6" s="1"/>
  <c r="E66" i="6" a="1"/>
  <c r="E66" i="6" s="1"/>
  <c r="H66" i="6" a="1"/>
  <c r="H66" i="6" s="1"/>
  <c r="B67" i="6" a="1"/>
  <c r="B67" i="6" s="1"/>
  <c r="E67" i="6" a="1"/>
  <c r="E67" i="6" s="1"/>
  <c r="H67" i="6" a="1"/>
  <c r="H67" i="6" s="1"/>
  <c r="B68" i="6" a="1"/>
  <c r="B68" i="6" s="1"/>
  <c r="E68" i="6" a="1"/>
  <c r="E68" i="6" s="1"/>
  <c r="H68" i="6" a="1"/>
  <c r="H68" i="6" s="1"/>
  <c r="B69" i="6" a="1"/>
  <c r="B69" i="6" s="1"/>
  <c r="E69" i="6" a="1"/>
  <c r="E69" i="6" s="1"/>
  <c r="H69" i="6" a="1"/>
  <c r="H69" i="6" s="1"/>
  <c r="B70" i="6" a="1"/>
  <c r="B70" i="6" s="1"/>
  <c r="E70" i="6" a="1"/>
  <c r="E70" i="6" s="1"/>
  <c r="H70" i="6" a="1"/>
  <c r="H70" i="6" s="1"/>
  <c r="B71" i="6" a="1"/>
  <c r="B71" i="6" s="1"/>
  <c r="E71" i="6" a="1"/>
  <c r="E71" i="6" s="1"/>
  <c r="H71" i="6" a="1"/>
  <c r="H71" i="6" s="1"/>
  <c r="B72" i="6" a="1"/>
  <c r="B72" i="6" s="1"/>
  <c r="E72" i="6" a="1"/>
  <c r="E72" i="6" s="1"/>
  <c r="H72" i="6" a="1"/>
  <c r="H72" i="6" s="1"/>
  <c r="B73" i="6" a="1"/>
  <c r="B73" i="6" s="1"/>
  <c r="E73" i="6" a="1"/>
  <c r="E73" i="6" s="1"/>
  <c r="H73" i="6" a="1"/>
  <c r="H73" i="6" s="1"/>
  <c r="B74" i="6" a="1"/>
  <c r="B74" i="6" s="1"/>
  <c r="E74" i="6" a="1"/>
  <c r="E74" i="6" s="1"/>
  <c r="H74" i="6" a="1"/>
  <c r="H74" i="6" s="1"/>
  <c r="B75" i="6" a="1"/>
  <c r="B75" i="6" s="1"/>
  <c r="E75" i="6" a="1"/>
  <c r="E75" i="6" s="1"/>
  <c r="H75" i="6" a="1"/>
  <c r="H75" i="6" s="1"/>
  <c r="B76" i="6" a="1"/>
  <c r="B76" i="6" s="1"/>
  <c r="E76" i="6" a="1"/>
  <c r="E76" i="6" s="1"/>
  <c r="H76" i="6" a="1"/>
  <c r="H76" i="6" s="1"/>
  <c r="B77" i="6" a="1"/>
  <c r="B77" i="6" s="1"/>
  <c r="E77" i="6" a="1"/>
  <c r="E77" i="6" s="1"/>
  <c r="H77" i="6" a="1"/>
  <c r="H77" i="6" s="1"/>
  <c r="B78" i="6" a="1"/>
  <c r="B78" i="6" s="1"/>
  <c r="E78" i="6" a="1"/>
  <c r="E78" i="6" s="1"/>
  <c r="H78" i="6" a="1"/>
  <c r="H78" i="6" s="1"/>
  <c r="B79" i="6" a="1"/>
  <c r="B79" i="6" s="1"/>
  <c r="E79" i="6" a="1"/>
  <c r="E79" i="6" s="1"/>
  <c r="H79" i="6" a="1"/>
  <c r="H79" i="6" s="1"/>
  <c r="B80" i="6" a="1"/>
  <c r="B80" i="6" s="1"/>
  <c r="E80" i="6" a="1"/>
  <c r="E80" i="6" s="1"/>
  <c r="H80" i="6" a="1"/>
  <c r="H80" i="6" s="1"/>
  <c r="B81" i="6" a="1"/>
  <c r="B81" i="6" s="1"/>
  <c r="E81" i="6" a="1"/>
  <c r="E81" i="6" s="1"/>
  <c r="H81" i="6" a="1"/>
  <c r="H81" i="6" s="1"/>
  <c r="B82" i="6" a="1"/>
  <c r="B82" i="6" s="1"/>
  <c r="E82" i="6" a="1"/>
  <c r="E82" i="6" s="1"/>
  <c r="H82" i="6" a="1"/>
  <c r="H82" i="6"/>
  <c r="B83" i="6" a="1"/>
  <c r="B83" i="6" s="1"/>
  <c r="E83" i="6" a="1"/>
  <c r="E83" i="6" s="1"/>
  <c r="H83" i="6" a="1"/>
  <c r="H83" i="6" s="1"/>
  <c r="B84" i="6" a="1"/>
  <c r="B84" i="6" s="1"/>
  <c r="E84" i="6" a="1"/>
  <c r="E84" i="6" s="1"/>
  <c r="H84" i="6" a="1"/>
  <c r="H84" i="6" s="1"/>
  <c r="B85" i="6" a="1"/>
  <c r="B85" i="6" s="1"/>
  <c r="E85" i="6" a="1"/>
  <c r="E85" i="6" s="1"/>
  <c r="H85" i="6" a="1"/>
  <c r="H85" i="6" s="1"/>
  <c r="B86" i="6" a="1"/>
  <c r="B86" i="6" s="1"/>
  <c r="E86" i="6" a="1"/>
  <c r="E86" i="6" s="1"/>
  <c r="H86" i="6" a="1"/>
  <c r="H86" i="6" s="1"/>
  <c r="B87" i="6" a="1"/>
  <c r="B87" i="6" s="1"/>
  <c r="E87" i="6" a="1"/>
  <c r="E87" i="6" s="1"/>
  <c r="H87" i="6" a="1"/>
  <c r="H87" i="6" s="1"/>
  <c r="B88" i="6" a="1"/>
  <c r="B88" i="6" s="1"/>
  <c r="E88" i="6" a="1"/>
  <c r="E88" i="6" s="1"/>
  <c r="H88" i="6" a="1"/>
  <c r="H88" i="6" s="1"/>
  <c r="B89" i="6" a="1"/>
  <c r="B89" i="6" s="1"/>
  <c r="E89" i="6" a="1"/>
  <c r="E89" i="6" s="1"/>
  <c r="H89" i="6" a="1"/>
  <c r="H89" i="6" s="1"/>
  <c r="B90" i="6" a="1"/>
  <c r="B90" i="6" s="1"/>
  <c r="E90" i="6" a="1"/>
  <c r="E90" i="6" s="1"/>
  <c r="H90" i="6" a="1"/>
  <c r="H90" i="6" s="1"/>
  <c r="B91" i="6" a="1"/>
  <c r="B91" i="6" s="1"/>
  <c r="E91" i="6" a="1"/>
  <c r="E91" i="6" s="1"/>
  <c r="H91" i="6" a="1"/>
  <c r="H91" i="6" s="1"/>
  <c r="B92" i="6" a="1"/>
  <c r="B92" i="6" s="1"/>
  <c r="E92" i="6" a="1"/>
  <c r="E92" i="6" s="1"/>
  <c r="H92" i="6" a="1"/>
  <c r="H92" i="6"/>
  <c r="B93" i="6" a="1"/>
  <c r="B93" i="6" s="1"/>
  <c r="E93" i="6" a="1"/>
  <c r="E93" i="6" s="1"/>
  <c r="H93" i="6" a="1"/>
  <c r="H93" i="6" s="1"/>
  <c r="B94" i="6" a="1"/>
  <c r="B94" i="6" s="1"/>
  <c r="E94" i="6" a="1"/>
  <c r="E94" i="6" s="1"/>
  <c r="H94" i="6" a="1"/>
  <c r="H94" i="6" s="1"/>
  <c r="B95" i="6" a="1"/>
  <c r="B95" i="6" s="1"/>
  <c r="E95" i="6" a="1"/>
  <c r="E95" i="6" s="1"/>
  <c r="H95" i="6" a="1"/>
  <c r="H95" i="6" s="1"/>
  <c r="B96" i="6" a="1"/>
  <c r="B96" i="6" s="1"/>
  <c r="E96" i="6" a="1"/>
  <c r="E96" i="6" s="1"/>
  <c r="H96" i="6" a="1"/>
  <c r="H96" i="6" s="1"/>
  <c r="B97" i="6" a="1"/>
  <c r="B97" i="6" s="1"/>
  <c r="E97" i="6" a="1"/>
  <c r="E97" i="6" s="1"/>
  <c r="H97" i="6" a="1"/>
  <c r="H97" i="6" s="1"/>
  <c r="B98" i="6" a="1"/>
  <c r="B98" i="6" s="1"/>
  <c r="E98" i="6" a="1"/>
  <c r="E98" i="6" s="1"/>
  <c r="H98" i="6" a="1"/>
  <c r="H98" i="6"/>
  <c r="B99" i="6" a="1"/>
  <c r="B99" i="6" s="1"/>
  <c r="E99" i="6" a="1"/>
  <c r="E99" i="6" s="1"/>
  <c r="H99" i="6" a="1"/>
  <c r="H99" i="6" s="1"/>
  <c r="B100" i="6" a="1"/>
  <c r="B100" i="6" s="1"/>
  <c r="E100" i="6" a="1"/>
  <c r="E100" i="6" s="1"/>
  <c r="H100" i="6" a="1"/>
  <c r="H100" i="6" s="1"/>
  <c r="B101" i="6" a="1"/>
  <c r="B101" i="6" s="1"/>
  <c r="E101" i="6" a="1"/>
  <c r="E101" i="6" s="1"/>
  <c r="H101" i="6" a="1"/>
  <c r="H101" i="6" s="1"/>
  <c r="B102" i="6" a="1"/>
  <c r="B102" i="6" s="1"/>
  <c r="E102" i="6" a="1"/>
  <c r="E102" i="6" s="1"/>
  <c r="H102" i="6" a="1"/>
  <c r="H102" i="6" s="1"/>
  <c r="B103" i="6" a="1"/>
  <c r="B103" i="6" s="1"/>
  <c r="E103" i="6" a="1"/>
  <c r="E103" i="6" s="1"/>
  <c r="H103" i="6" a="1"/>
  <c r="H103" i="6" s="1"/>
  <c r="B104" i="6" a="1"/>
  <c r="B104" i="6" s="1"/>
  <c r="E104" i="6" a="1"/>
  <c r="E104" i="6" s="1"/>
  <c r="H104" i="6" a="1"/>
  <c r="H104" i="6" s="1"/>
  <c r="B105" i="6" a="1"/>
  <c r="B105" i="6" s="1"/>
  <c r="E105" i="6" a="1"/>
  <c r="E105" i="6" s="1"/>
  <c r="H105" i="6" a="1"/>
  <c r="H105" i="6" s="1"/>
  <c r="B106" i="6" a="1"/>
  <c r="B106" i="6" s="1"/>
  <c r="E106" i="6" a="1"/>
  <c r="E106" i="6" s="1"/>
  <c r="H106" i="6" a="1"/>
  <c r="H106" i="6" s="1"/>
  <c r="B107" i="6" a="1"/>
  <c r="B107" i="6" s="1"/>
  <c r="E107" i="6" a="1"/>
  <c r="E107" i="6" s="1"/>
  <c r="H107" i="6" a="1"/>
  <c r="H107" i="6" s="1"/>
  <c r="B108" i="6" a="1"/>
  <c r="B108" i="6" s="1"/>
  <c r="E108" i="6" a="1"/>
  <c r="E108" i="6" s="1"/>
  <c r="H108" i="6" a="1"/>
  <c r="H108" i="6" s="1"/>
  <c r="B109" i="6" a="1"/>
  <c r="B109" i="6" s="1"/>
  <c r="E109" i="6" a="1"/>
  <c r="E109" i="6" s="1"/>
  <c r="H109" i="6" a="1"/>
  <c r="H109" i="6" s="1"/>
  <c r="B110" i="6" a="1"/>
  <c r="B110" i="6" s="1"/>
  <c r="E110" i="6" a="1"/>
  <c r="E110" i="6" s="1"/>
  <c r="H110" i="6" a="1"/>
  <c r="H110" i="6" s="1"/>
  <c r="B111" i="6" a="1"/>
  <c r="B111" i="6" s="1"/>
  <c r="E111" i="6" a="1"/>
  <c r="E111" i="6" s="1"/>
  <c r="H111" i="6" a="1"/>
  <c r="H111" i="6" s="1"/>
  <c r="B112" i="6" a="1"/>
  <c r="B112" i="6" s="1"/>
  <c r="E112" i="6" a="1"/>
  <c r="E112" i="6" s="1"/>
  <c r="H112" i="6" a="1"/>
  <c r="H112" i="6" s="1"/>
  <c r="B113" i="6" a="1"/>
  <c r="B113" i="6" s="1"/>
  <c r="E113" i="6" a="1"/>
  <c r="E113" i="6" s="1"/>
  <c r="H113" i="6" a="1"/>
  <c r="H113" i="6" s="1"/>
  <c r="B114" i="6" a="1"/>
  <c r="B114" i="6" s="1"/>
  <c r="E114" i="6" a="1"/>
  <c r="E114" i="6" s="1"/>
  <c r="H114" i="6" a="1"/>
  <c r="H114" i="6" s="1"/>
  <c r="B115" i="6" a="1"/>
  <c r="B115" i="6" s="1"/>
  <c r="E115" i="6" a="1"/>
  <c r="E115" i="6" s="1"/>
  <c r="H115" i="6" a="1"/>
  <c r="H115" i="6" s="1"/>
  <c r="B116" i="6" a="1"/>
  <c r="B116" i="6" s="1"/>
  <c r="E116" i="6" a="1"/>
  <c r="E116" i="6" s="1"/>
  <c r="H116" i="6" a="1"/>
  <c r="H116" i="6" s="1"/>
  <c r="H19" i="6" a="1"/>
  <c r="H19" i="6" s="1"/>
  <c r="H20" i="6" a="1"/>
  <c r="H20" i="6" s="1"/>
  <c r="H21" i="6" a="1"/>
  <c r="H21" i="6" s="1"/>
  <c r="H22" i="6" a="1"/>
  <c r="H22" i="6" s="1"/>
  <c r="H23" i="6" a="1"/>
  <c r="H23" i="6" s="1"/>
  <c r="H24" i="6" a="1"/>
  <c r="H24" i="6"/>
  <c r="H25" i="6" a="1"/>
  <c r="H25" i="6" s="1"/>
  <c r="H26" i="6" a="1"/>
  <c r="H26" i="6" s="1"/>
  <c r="H27" i="6" a="1"/>
  <c r="H27" i="6"/>
  <c r="H28" i="6" a="1"/>
  <c r="H28" i="6" s="1"/>
  <c r="H29" i="6" a="1"/>
  <c r="H29" i="6" s="1"/>
  <c r="H30" i="6" a="1"/>
  <c r="H30" i="6" s="1"/>
  <c r="H31" i="6" a="1"/>
  <c r="H31" i="6" s="1"/>
  <c r="H32" i="6" a="1"/>
  <c r="H32" i="6" s="1"/>
  <c r="H33" i="6" a="1"/>
  <c r="H33" i="6" s="1"/>
  <c r="H34" i="6" a="1"/>
  <c r="H34" i="6" s="1"/>
  <c r="H35" i="6" a="1"/>
  <c r="H35" i="6" s="1"/>
  <c r="H36" i="6" a="1"/>
  <c r="H36" i="6" s="1"/>
  <c r="H37" i="6" a="1"/>
  <c r="H37" i="6" s="1"/>
  <c r="H18" i="6" a="1"/>
  <c r="H18" i="6" s="1"/>
  <c r="E19" i="6" a="1"/>
  <c r="E19" i="6" s="1"/>
  <c r="E20" i="6" a="1"/>
  <c r="E20" i="6" s="1"/>
  <c r="E21" i="6" a="1"/>
  <c r="E21" i="6"/>
  <c r="E22" i="6" a="1"/>
  <c r="E22" i="6"/>
  <c r="E23" i="6" a="1"/>
  <c r="E23" i="6"/>
  <c r="E24" i="6" a="1"/>
  <c r="E24" i="6" s="1"/>
  <c r="E25" i="6" a="1"/>
  <c r="E25" i="6"/>
  <c r="E26" i="6" a="1"/>
  <c r="E26" i="6" s="1"/>
  <c r="E27" i="6" a="1"/>
  <c r="E27" i="6"/>
  <c r="E28" i="6" a="1"/>
  <c r="E28" i="6"/>
  <c r="E29" i="6" a="1"/>
  <c r="E29" i="6"/>
  <c r="E30" i="6" a="1"/>
  <c r="E30" i="6" s="1"/>
  <c r="E31" i="6" a="1"/>
  <c r="E31" i="6"/>
  <c r="E32" i="6" a="1"/>
  <c r="E32" i="6" s="1"/>
  <c r="E33" i="6" a="1"/>
  <c r="E33" i="6" s="1"/>
  <c r="E34" i="6" a="1"/>
  <c r="E34" i="6"/>
  <c r="E35" i="6" a="1"/>
  <c r="E35" i="6"/>
  <c r="E36" i="6" a="1"/>
  <c r="E36" i="6" s="1"/>
  <c r="E37" i="6" a="1"/>
  <c r="E37" i="6"/>
  <c r="E18" i="6" a="1"/>
  <c r="E18" i="6" s="1"/>
  <c r="B19" i="6" a="1"/>
  <c r="B19" i="6" s="1"/>
  <c r="B20" i="6" a="1"/>
  <c r="B20" i="6" s="1"/>
  <c r="B21" i="6" a="1"/>
  <c r="B21" i="6" s="1"/>
  <c r="B22" i="6" a="1"/>
  <c r="B22" i="6" s="1"/>
  <c r="B23" i="6" a="1"/>
  <c r="B23" i="6" s="1"/>
  <c r="B24" i="6" a="1"/>
  <c r="B24" i="6" s="1"/>
  <c r="B25" i="6" a="1"/>
  <c r="B25" i="6" s="1"/>
  <c r="B26" i="6" a="1"/>
  <c r="B26" i="6" s="1"/>
  <c r="B27" i="6" a="1"/>
  <c r="B27" i="6" s="1"/>
  <c r="B28" i="6" a="1"/>
  <c r="B28" i="6" s="1"/>
  <c r="B29" i="6" a="1"/>
  <c r="B29" i="6" s="1"/>
  <c r="B30" i="6" a="1"/>
  <c r="B30" i="6" s="1"/>
  <c r="B31" i="6" a="1"/>
  <c r="B31" i="6" s="1"/>
  <c r="B32" i="6" a="1"/>
  <c r="B32" i="6" s="1"/>
  <c r="B33" i="6" a="1"/>
  <c r="B33" i="6"/>
  <c r="B34" i="6" a="1"/>
  <c r="B34" i="6" s="1"/>
  <c r="B35" i="6" a="1"/>
  <c r="B35" i="6" s="1"/>
  <c r="B36" i="6" a="1"/>
  <c r="B36" i="6" s="1"/>
  <c r="B37" i="6" a="1"/>
  <c r="B37" i="6" s="1"/>
  <c r="B18" i="6" a="1"/>
  <c r="B18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<sst xmlns="http://schemas.openxmlformats.org/spreadsheetml/2006/main" count="2263" uniqueCount="570">
  <si>
    <t>Provider Name</t>
  </si>
  <si>
    <t>Website</t>
  </si>
  <si>
    <t>Primary Sport</t>
  </si>
  <si>
    <t>City</t>
  </si>
  <si>
    <t>State</t>
  </si>
  <si>
    <t>Short Description</t>
  </si>
  <si>
    <t>Focus Tags</t>
  </si>
  <si>
    <t>“golf mental coach junior”</t>
  </si>
  <si>
    <t>“sports psychologist youth golf”</t>
  </si>
  <si>
    <t>“mental performance coach golf junior”</t>
  </si>
  <si>
    <t>LinkedIn searches</t>
  </si>
  <si>
    <t>junior golf forums</t>
  </si>
  <si>
    <t>college sports psych directories</t>
  </si>
  <si>
    <t>Google and LinkedIn.</t>
  </si>
  <si>
    <t>Peak Performance Sports / Dr. Patrick Cohn &amp; Team</t>
  </si>
  <si>
    <t>https://www.peaksports.com</t>
  </si>
  <si>
    <t>Multi‑sport</t>
  </si>
  <si>
    <t>Y</t>
  </si>
  <si>
    <t>Orlando</t>
  </si>
  <si>
    <t>Florida, US</t>
  </si>
  <si>
    <t>Sport psychology and mental performance coaching for junior to professional athletes via individualized online video coaching; helps with confidence, focus, and performance anxiety.peaksports​</t>
  </si>
  <si>
    <t>Kids’ Sports Psychology (youth arm of Peak Performance Sports)</t>
  </si>
  <si>
    <t>https://www.kidssportspsychology.com</t>
  </si>
  <si>
    <t>Youth‑focused platform and coaching service helping young athletes build mental toughness, confidence, and resilience; offers one‑on‑one virtual or onsite coaching.kidssportspsychology​</t>
  </si>
  <si>
    <t>Dr. JoAnn Dahlkoetter – Your Performing Edge</t>
  </si>
  <si>
    <t>https://www.drjoann.com</t>
  </si>
  <si>
    <t>San Francisco Bay Area</t>
  </si>
  <si>
    <t>California, US</t>
  </si>
  <si>
    <t>Olympic‑level sport psychologist and former elite triathlete providing video and in‑office mental coaching, including specialized programs for young athletes.drjoann​</t>
  </si>
  <si>
    <t>Maximize The Mind</t>
  </si>
  <si>
    <t>https://maximizethemind.com</t>
  </si>
  <si>
    <t>Cypress (Houston area)</t>
  </si>
  <si>
    <t>Texas, US</t>
  </si>
  <si>
    <t>Sport psychology and mental performance practice offering virtual sessions to athletes “anywhere in the world” plus in‑office visits in the Houston area.maximizethemind​</t>
  </si>
  <si>
    <t>Unlimited Resilience LLC</t>
  </si>
  <si>
    <t>https://unlimitedresiliencellc.com/join-our-team/</t>
  </si>
  <si>
    <t>Telehealth‑based</t>
  </si>
  <si>
    <t>US</t>
  </si>
  <si>
    <t>Telehealth therapy and sport psychology services for youth athletes aiming to build resilience and address both performance and mental health challenges.unlimitedresiliencellc​</t>
  </si>
  <si>
    <t>https://theperformancepursuitconsulting.com</t>
  </si>
  <si>
    <t>(US‑based; city not clearly listed)</t>
  </si>
  <si>
    <t>Sport psychology and performance consulting service providing individual sessions and group work with athletes, including youth, often delivered online.theperformancepursuitconsulting​</t>
  </si>
  <si>
    <t>Peak Mental Performance Coaching – Dr. Matthew</t>
  </si>
  <si>
    <t>https://www.peakmpc.com/about</t>
  </si>
  <si>
    <t>Clinical and performance psychology practice that uses mental skills training for performance settings such as sports; works with adolescents and young adults.peakmpc​</t>
  </si>
  <si>
    <t>Mind Body Endurance – Telehealth Sport Psychologists</t>
  </si>
  <si>
    <t>https://mindbodyendurance.com/sport-psychology/psychologists/</t>
  </si>
  <si>
    <t>Telehealth</t>
  </si>
  <si>
    <t>Group of sport psychologists offering telehealth to athletes across the US, including youth athlete mental health sessions and performance support.mindbodyendurance​</t>
  </si>
  <si>
    <t>Dr. Julie L. Wiernik</t>
  </si>
  <si>
    <t>https://drjuliewiernik.com/about/</t>
  </si>
  <si>
    <t>San Antonio</t>
  </si>
  <si>
    <t>Clinical sport, performance, and health psychologist working with adolescents, adults, and families to help youth and pro athletes perform at their highest level.drjuliewiernik​</t>
  </si>
  <si>
    <t>Dr. Andrew Jacobs</t>
  </si>
  <si>
    <t>https://www.winnersunlimited.com</t>
  </si>
  <si>
    <t>Overland Park (KC area)</t>
  </si>
  <si>
    <t>Kansas, US</t>
  </si>
  <si>
    <t>Veteran sport psychologist known for radio, consulting, and work with youth through professional athletes; provides individual sessions and remote work.winnersunlimited​</t>
  </si>
  <si>
    <t>Houston‑area sport psychology group practices (via Zencare)</t>
  </si>
  <si>
    <t>https://zencare.co/us/texas/houston/practices/specialty/sports-psychology</t>
  </si>
  <si>
    <t>Houston</t>
  </si>
  <si>
    <t>Directory listing several Houston group practices specializing in sports psychology; many list experience with adolescents and telehealth services.zencare​</t>
  </si>
  <si>
    <t>Youth‑focused sport psychologist (Central NJ, virtual – from Facebook inquiry)</t>
  </si>
  <si>
    <t>(contact via Facebook post / referral)</t>
  </si>
  <si>
    <t>Central New Jersey</t>
  </si>
  <si>
    <t>New Jersey, US</t>
  </si>
  <si>
    <t>Sport psychologist recommended for youth, high school, and junior hockey players, offering virtual sessions for young athletes.facebook​</t>
  </si>
  <si>
    <t>Youth Sports Psychology video/education arm (Dr. Patrick Cohn – media side)</t>
  </si>
  <si>
    <t>https://www.youthsportspsychology.com/youth_sports_psychology_blog/tag/peak-sports-video/</t>
  </si>
  <si>
    <t>Educational and video resource brand tied to Peak Performance Sports, focused on young athletes’ mental skills and often linked to virtual coaching offers.youthsportspsychology​</t>
  </si>
  <si>
    <t>Telehealth platforms with bilingual sport‑oriented psychologists (example route)</t>
  </si>
  <si>
    <t>https://www.sanarai.com/bilingual-psychologist</t>
  </si>
  <si>
    <t>Online</t>
  </si>
  <si>
    <t>Latin‑America/US‑focused</t>
  </si>
  <si>
    <t>Platform connecting clients with English‑ and Spanish‑speaking psychologists online; you can filter for performance/sport focus and youth experience to find bilingual support.sanarai​</t>
  </si>
  <si>
    <t>The Performance Pursuit - Dari Watkins, M.S., CMPC</t>
  </si>
  <si>
    <t>Aspire Mindset – Mental Performance Coaching for Youth &amp; College Athletes</t>
  </si>
  <si>
    <t>Short Description: Aspire Mindset provides mental performance coaching for youth and college athletes from a variety of sports through remote sessions, focusing on confidence, focus, and consistency under pressure.</t>
  </si>
  <si>
    <t>https://aspiremindset.com</t>
  </si>
  <si>
    <t>English</t>
  </si>
  <si>
    <t>Keim Performance Consulting – Dr. Kristin Keim</t>
  </si>
  <si>
    <t>https://www.keimperformanceconsulting.com</t>
  </si>
  <si>
    <t>Multi‑sport (endurance, team sports)</t>
  </si>
  <si>
    <t>Columbus</t>
  </si>
  <si>
    <t>Ohio, US</t>
  </si>
  <si>
    <t>Clinical and sport psychologist providing mental skills training and therapy for athletes, including youth, collegiate, and professional competitors.</t>
  </si>
  <si>
    <t>Anxiety, confidence, overtraining, identity, transitions, mental skills, high‑performance.</t>
  </si>
  <si>
    <t>Premier Sport Psychology – Youth &amp; High School Services</t>
  </si>
  <si>
    <t>https://www.premiersportpsychology.com</t>
  </si>
  <si>
    <t>Minneapolis (Edina area)</t>
  </si>
  <si>
    <t>Minnesota, US</t>
  </si>
  <si>
    <t>Large sport psychology group with a dedicated youth division offering individual and group programs for young and high‑school athletes, in person and online.</t>
  </si>
  <si>
    <t>Performance anxiety, confidence, perfectionism, mental health, team culture, youth development.</t>
  </si>
  <si>
    <t>English (some clinicians may offer additional languages; see individual bios).</t>
  </si>
  <si>
    <t>Better Performance – Dr. Christina Heilman</t>
  </si>
  <si>
    <t>https://www.betterperformance.org</t>
  </si>
  <si>
    <t>Endurance and mountain sports, multi‑sport</t>
  </si>
  <si>
    <t>Jackson</t>
  </si>
  <si>
    <t>Wyoming, US</t>
  </si>
  <si>
    <t>Sport psychologist and coach integrating mental skills, positive psychology, and resilience work with youth through elite athletes.</t>
  </si>
  <si>
    <t>Confidence, resilience, enjoyment, fear of failure, outdoor/adventure sports, mental toughness.</t>
  </si>
  <si>
    <t>Compete Mentality – Dr. Haley Perlus</t>
  </si>
  <si>
    <t>https://drhaleyperlus.com</t>
  </si>
  <si>
    <t>Multi‑sport (including snow sports and team sports)</t>
  </si>
  <si>
    <t>(Primarily virtual; based in) Colorado</t>
  </si>
  <si>
    <t>Colorado, US</t>
  </si>
  <si>
    <t>Sport and performance psychologist offering one‑on‑one coaching and programs for youth and teen athletes and their parents via online sessions.</t>
  </si>
  <si>
    <t>Confidence, motivation, competitive mindset, nerves, consistency, parent education.</t>
  </si>
  <si>
    <t>Reaching Ahead Counseling and Mental Performance – Dr. Chris Stankovich</t>
  </si>
  <si>
    <t>https://drstankovich.com</t>
  </si>
  <si>
    <t>Sport psychologist focusing on mental toughness and life skills for young athletes, with extensive resources for parents and coaches.</t>
  </si>
  <si>
    <t>Confidence, motivation, character development, college recruiting stress, burnout, life skills.</t>
  </si>
  <si>
    <t>Sport &amp; Performance Psychology, LLC – Dr. Alison Pope‑Rodriguez</t>
  </si>
  <si>
    <t>https://www.sportandperformancepsych.com</t>
  </si>
  <si>
    <t>Denver</t>
  </si>
  <si>
    <t>Licensed psychologist and Certified Mental Performance Consultant working with adolescents and youth on performance and mental health.</t>
  </si>
  <si>
    <t>Anxiety, self‑confidence, injury recovery, perfectionism, identity, LGBTQ+‑affirming care.</t>
  </si>
  <si>
    <t>The MindSide / The Winning Mindset – Dr. Bhrett McCabe &amp; Team</t>
  </si>
  <si>
    <t>https://www.themindside.com</t>
  </si>
  <si>
    <t>Multi‑sport (baseball, golf, football, others)</t>
  </si>
  <si>
    <t>Birmingham</t>
  </si>
  <si>
    <t>Alabama, US</t>
  </si>
  <si>
    <t>Sport psychology practice helping youth through pros develop competitive mindsets, manage pressure, and improve performance.</t>
  </si>
  <si>
    <t>Pressure, confidence, slumps, motivation, mental toughness, team culture.</t>
  </si>
  <si>
    <t>MindRight Sport Psychology – Dr. Jason Novetsky</t>
  </si>
  <si>
    <t>https://www.mindrightpsyc.com</t>
  </si>
  <si>
    <t>Multi‑sport (baseball/softball emphasis)</t>
  </si>
  <si>
    <t>Detroit area</t>
  </si>
  <si>
    <t>Michigan, US</t>
  </si>
  <si>
    <t>Mental performance coaching practice serving youth, high‑school, and collegiate athletes and teams, with parent‑focused education.</t>
  </si>
  <si>
    <t>Confidence, focus, handling mistakes, parents, team workshops, performance routines.</t>
  </si>
  <si>
    <t>Winning Within Sports Psychology – Dr. Chris Carr &amp; Associates</t>
  </si>
  <si>
    <t>https://www.winningwithinsportspsychology.com</t>
  </si>
  <si>
    <t>Indianapolis</t>
  </si>
  <si>
    <t>Indiana, US</t>
  </si>
  <si>
    <t>Sport psychology practice blending clinical and performance services for children, adolescents, and adult athletes.</t>
  </si>
  <si>
    <t>Anxiety, depression, performance issues, injury, family involvement, coping skills.</t>
  </si>
  <si>
    <t>Colorado Sport Psychology – Dr. Justin Ross &amp; Associates</t>
  </si>
  <si>
    <t>https://www.coloradosportpsychology.com</t>
  </si>
  <si>
    <t>Multi‑sport (running, cycling, triathlon, team sports)</t>
  </si>
  <si>
    <t>Group practice offering sport and performance psychology with specific services for child and adolescent athletes via in‑person and telehealth.</t>
  </si>
  <si>
    <t>Anxiety, performance routines, confidence, return‑from‑injury, endurance mindset, motivation.</t>
  </si>
  <si>
    <t>SportStrata – New York City Sport Psychology Group</t>
  </si>
  <si>
    <t>https://www.sportstrata.com</t>
  </si>
  <si>
    <t>New York City</t>
  </si>
  <si>
    <t>New York, US</t>
  </si>
  <si>
    <t>Team of sport psychologists providing evidence‑based mental performance and therapy services, including programs for youth and high‑school athletes and their parents.</t>
  </si>
  <si>
    <t>Performance anxiety, confidence, perfectionism, family systems, school–sport balance.</t>
  </si>
  <si>
    <t>English (check individual clinician bios for any additional languages).</t>
  </si>
  <si>
    <t>HeadStrong Consulting – Dr. Cindra Kamphoff &amp; Team</t>
  </si>
  <si>
    <t>https://www.headstrongconsulting.com</t>
  </si>
  <si>
    <t>Mankato</t>
  </si>
  <si>
    <t>Mental performance consulting practice serving youth through professional athletes, emphasizing mindset training and resilience.</t>
  </si>
  <si>
    <t>Confidence, focus, grit, leadership, resilience, team culture, motivation.</t>
  </si>
  <si>
    <t>California Sport Psychology – Dr. Sari Shepphird</t>
  </si>
  <si>
    <t>https://www.calisportpsych.com</t>
  </si>
  <si>
    <t>Multi‑sport (gymnastics, figure skating, team sports)</t>
  </si>
  <si>
    <t>Los Angeles</t>
  </si>
  <si>
    <t>Licensed psychologist specializing in sport psychology, frequently working with youth athletes in judged, aesthetic, and team sports.</t>
  </si>
  <si>
    <t>Perfectionism, performance anxiety, fear, confidence, body‑image‑in‑sport, pressure in judged sports.</t>
  </si>
  <si>
    <t>Sport Psychology for Athletes – Dr. Jody Adewale</t>
  </si>
  <si>
    <t>https://www.sportpsychologyforathletes.com</t>
  </si>
  <si>
    <t>Southern California (greater Los Angeles area)</t>
  </si>
  <si>
    <t>Clinical and sport psychologist helping child and adolescent athletes with performance and emotional challenges related to sport.</t>
  </si>
  <si>
    <t>Anxiety, depression, family dynamics, confidence, coping with pressure, sport‑related stress.</t>
  </si>
  <si>
    <t>Champion Mindset Consulting – Dr. Julie Amato</t>
  </si>
  <si>
    <t>https://www.championmindsetconsulting.com</t>
  </si>
  <si>
    <t>Multi‑sport (soccer, hockey, lacrosse, others)</t>
  </si>
  <si>
    <t>New Jersey (primarily virtual)</t>
  </si>
  <si>
    <t>Sport psychology practice providing individual and team sessions for youth, teen, and college athletes, with parent consultations.</t>
  </si>
  <si>
    <t>Confidence, perfectionism, performance anxiety, recruiting stress, resilience, parent support.</t>
  </si>
  <si>
    <t>Works With Juniors</t>
  </si>
  <si>
    <t>Offers Remote</t>
  </si>
  <si>
    <t>Hockey, Multi-sport</t>
  </si>
  <si>
    <t>Visualization, nerves, elite performance,confidence, focus, golf, baseball, basketball, football, soccer, field hockey, hockey, softball</t>
  </si>
  <si>
    <t>performance issues, anxiety, focus,confidence, focus, golf, baseball, basketball, football, soccer, field hockey, hockey, softball</t>
  </si>
  <si>
    <t>resilience, mental health,confidence, focus, golf, baseball, basketball, football, soccer, field hockey, hockey, softball</t>
  </si>
  <si>
    <t>mental health,confidence, focus, golf, baseball, basketball, football, soccer, field hockey, hockey, softball</t>
  </si>
  <si>
    <t>Mental skills, anxiety, focus,confidence, focus, golf, baseball, basketball, football, soccer, field hockey, hockey, softball</t>
  </si>
  <si>
    <t>mental health, performance, well‑being,confidence, focus, golf, baseball, basketball, football, soccer, field hockey, hockey, softball</t>
  </si>
  <si>
    <t>sport psychology, performance,confidence, focus, golf, baseball, basketball, football, soccer, field hockey, hockey, softball</t>
  </si>
  <si>
    <t>confidence, focus,confidence, focus, golf, baseball, basketball, football, soccer, field hockey, hockey, softball</t>
  </si>
  <si>
    <t>telehealth, anxiety, performance,confidence, focus, golf, baseball, basketball, football, soccer, field hockey, hockey, softball</t>
  </si>
  <si>
    <t>virtual sessions,confidence, focus, golf, baseball, basketball, football, soccer, field hockey, hockey, softball</t>
  </si>
  <si>
    <t>confidence, parent guidance,confidence, focus, golf, baseball, basketball, football, soccer, field hockey, hockey, softball</t>
  </si>
  <si>
    <t>Bilingual, telepsychology, performance‑oriented,confidence, focus, golf, baseball, basketball, football, soccer, field hockey, hockey, softball</t>
  </si>
  <si>
    <t>Anxiety, depression, performance issues, injury, family, coping skills.,confidence, focus, golf, baseball, basketball, football, soccer, field hockey, hockey, softball</t>
  </si>
  <si>
    <t xml:space="preserve"> focus, grit, leadership, resilience, team culture, motivation,confidence, focus, golf, baseball, basketball, football, soccer, field hockey, hockey, softball</t>
  </si>
  <si>
    <t xml:space="preserve"> perfectionism, performance anxiety, recruiting stress, resilience, parent support.,confidence, focus, golf, baseball, basketball, football, soccer, field hockey, hockey, softball</t>
  </si>
  <si>
    <t xml:space="preserve"> resilience, enjoyment, fear of failure, mental toughness,confidence, focus, golf, baseball, basketball, football, soccer, field hockey, hockey, softball</t>
  </si>
  <si>
    <t xml:space="preserve"> motivation, competitive mindset, nerves, consistency, parent education,confidence, focus, golf, baseball, basketball, football, soccer, field hockey, hockey, softball</t>
  </si>
  <si>
    <t xml:space="preserve"> motivation, character development, college recruiting stress, burnout, life skills,confidence, focus, golf, baseball, basketball, football, soccer, field hockey, hockey, softball</t>
  </si>
  <si>
    <t xml:space="preserve"> focus, handling mistakes, parents, team workshops, performance routines,confidence, focus, golf, baseball, basketball, football, soccer, field hockey, hockey, softball</t>
  </si>
  <si>
    <t>focus, remote coaching,confidence, focus, golf, baseball, basketball, football, soccer, field hockey, hockey, softball</t>
  </si>
  <si>
    <t>Anxiety, confidence, overtraining, identity, transitions, mental skills, high‑performance, focus, golf, baseball, basketball, football, soccer, field hockey, hockey, softball</t>
  </si>
  <si>
    <t>Performance anxiety, perfectionism, mental health, team culture, youth development,confidence, focus, golf, baseball, basketball, football, soccer, field hockey, hockey, softball</t>
  </si>
  <si>
    <t>Anxiety, injury recovery, perfectionism, identity,confidence, focus, golf, baseball, basketball, football, soccer, field hockey, hockey, softball</t>
  </si>
  <si>
    <t>Pressure, slumps, motivation, mental toughness, team culture,confidence, focus, golf, baseball, basketball, football, soccer, field hockey, hockey, softball</t>
  </si>
  <si>
    <t>Anxiety, performance routines, return from injury, motivation.,confidence, focus, golf, baseball, basketball, football, soccer, field hockey, hockey, softball</t>
  </si>
  <si>
    <t>Performance anxiety, perfectionism, family, school sport balance.,confidence, focus, golf, baseball, basketball, football, soccer, field hockey, hockey, softball</t>
  </si>
  <si>
    <t>Perfectionism, performance anxiety, fear, body‑image‑in‑sport, pressure in judged sports.,confidence, focus, golf, baseball, basketball, football, soccer, field hockey, hockey, softball</t>
  </si>
  <si>
    <t>Anxiety, depression, family dynamics, coping with pressure, sport related stress,confidence, focus, golf, baseball, basketball, football, soccer, field hockey, hockey, softball</t>
  </si>
  <si>
    <t>mental toughness, virtual sessions,confidence, focus, golf, baseball, basketball, football, soccer, field hockey, hockey, softball</t>
  </si>
  <si>
    <t>Juniors</t>
  </si>
  <si>
    <t>Remote</t>
  </si>
  <si>
    <t>Location</t>
  </si>
  <si>
    <t>Dr. Caroline Silby</t>
  </si>
  <si>
    <t>drsilby.com</t>
  </si>
  <si>
    <t>Figure Skating / Multi</t>
  </si>
  <si>
    <t>Annapolis, MD</t>
  </si>
  <si>
    <t>High-pressure, US Figure Skating lead, elite youth</t>
  </si>
  <si>
    <t>Robert Andrews</t>
  </si>
  <si>
    <t>tinssp.com</t>
  </si>
  <si>
    <t>Gymnastics / Multi</t>
  </si>
  <si>
    <t>Houston, TX</t>
  </si>
  <si>
    <t>Trauma, Simone Biles’ consultant, youth mental blocks</t>
  </si>
  <si>
    <t>Abby Keenan (Intrepid Performance)</t>
  </si>
  <si>
    <t>intrepidperformance.com</t>
  </si>
  <si>
    <t>Multi-sport</t>
  </si>
  <si>
    <t>Savannah, GA</t>
  </si>
  <si>
    <t>CMPC, military-style resilience for youth athletes</t>
  </si>
  <si>
    <t>Dr. Kensa Gunter</t>
  </si>
  <si>
    <t>drkensagunter.com</t>
  </si>
  <si>
    <t>Atlanta, GA</t>
  </si>
  <si>
    <t>Holistic wellness, adolescent identity, performance</t>
  </si>
  <si>
    <t>Dr. Riley Nickols</t>
  </si>
  <si>
    <t>mindbodyendurance.com</t>
  </si>
  <si>
    <t>Endurance / Multi</t>
  </si>
  <si>
    <t>St. Louis, MO</t>
  </si>
  <si>
    <t>Eating disorders in youth sport, RED-S, endurance</t>
  </si>
  <si>
    <t>Dr. Kristina Clevinger</t>
  </si>
  <si>
    <t>psychologytoday.com</t>
  </si>
  <si>
    <t>Webster, TX</t>
  </si>
  <si>
    <t>Perfectionism, teen transitions, injury recovery</t>
  </si>
  <si>
    <t>Dr. Adam Morris</t>
  </si>
  <si>
    <t>believeperform.com</t>
  </si>
  <si>
    <t>UK (Virtual)</t>
  </si>
  <si>
    <t>Youth education, mental health awareness in sport</t>
  </si>
  <si>
    <t>Dr. Michael Gervais</t>
  </si>
  <si>
    <t>findingmastery.com</t>
  </si>
  <si>
    <t>Elite / Multi</t>
  </si>
  <si>
    <t>Los Angeles, CA</t>
  </si>
  <si>
    <t>High-performance mindset, teen elite development</t>
  </si>
  <si>
    <t>Hana DeGuzman</t>
  </si>
  <si>
    <t>premiersportpsychology.com</t>
  </si>
  <si>
    <t>Minneapolis, MN</t>
  </si>
  <si>
    <t>Youth mental performance, focus, anxiety</t>
  </si>
  <si>
    <t>Dr. Kirbi Kidd</t>
  </si>
  <si>
    <t>Collaborative youth skills, performance anxiety</t>
  </si>
  <si>
    <t>Kai Laird</t>
  </si>
  <si>
    <t>https://www.google.com/search?q=kailaird.com</t>
  </si>
  <si>
    <t>Golf / Multi</t>
  </si>
  <si>
    <t>Virtual</t>
  </si>
  <si>
    <t>Golf-specific youth focus, neutral thinking</t>
  </si>
  <si>
    <t>Dr. Matthew Mikesell</t>
  </si>
  <si>
    <t>Adolescent motivation, awareness, resilience</t>
  </si>
  <si>
    <t>Dr. Carly Anderson</t>
  </si>
  <si>
    <t>Edina, MN</t>
  </si>
  <si>
    <t>USOPC/NFLPA listed, youth sport clinical care</t>
  </si>
  <si>
    <t>Dr. Sharleen Hoar</t>
  </si>
  <si>
    <t>csipacific.ca</t>
  </si>
  <si>
    <t>Victoria, BC (CAN)</t>
  </si>
  <si>
    <t>Talent development, Canadian Olympic youth lead</t>
  </si>
  <si>
    <t>Dr. Brian Hemmings</t>
  </si>
  <si>
    <t>brianhemmings.co.uk</t>
  </si>
  <si>
    <t>Cricket / Golf</t>
  </si>
  <si>
    <t>UK</t>
  </si>
  <si>
    <t>Junior golf and cricket performance psychology</t>
  </si>
  <si>
    <t>Dr. Edson Filho</t>
  </si>
  <si>
    <t>bu.edu/shs</t>
  </si>
  <si>
    <t>Boston, MA</t>
  </si>
  <si>
    <t>Team dynamics, youth collective efficacy</t>
  </si>
  <si>
    <t>Prof. Chris Harwood</t>
  </si>
  <si>
    <t>ntu.ac.uk</t>
  </si>
  <si>
    <t>Tennis / Multi</t>
  </si>
  <si>
    <t>Parent-athlete relationship, youth tennis specialist</t>
  </si>
  <si>
    <t>Dr. Vanessa Chafos</t>
  </si>
  <si>
    <t>https://www.google.com/search?q=vchafos.com</t>
  </si>
  <si>
    <t>Princeton, NJ</t>
  </si>
  <si>
    <t>Youth goal setting, inner strength building</t>
  </si>
  <si>
    <t>Dr. Judy VanRaalte</t>
  </si>
  <si>
    <t>Sedona, AZ</t>
  </si>
  <si>
    <t>School/sport balance, performance anxiety</t>
  </si>
  <si>
    <t>Taylor Sorenson</t>
  </si>
  <si>
    <t>Warm environment for young athletes, focus</t>
  </si>
  <si>
    <t>Daniel Nichols</t>
  </si>
  <si>
    <t>Phoenix, AZ</t>
  </si>
  <si>
    <t>Educational settings, youth self-esteem</t>
  </si>
  <si>
    <t>Auran Piatigorsky</t>
  </si>
  <si>
    <t>Remote Only</t>
  </si>
  <si>
    <t>Clinical sport psych for adolescents</t>
  </si>
  <si>
    <t>Dr. Taja Wright</t>
  </si>
  <si>
    <t>theathletenow.com</t>
  </si>
  <si>
    <t>Birmingham, UK</t>
  </si>
  <si>
    <t>Youth resilience, performance under pressure</t>
  </si>
  <si>
    <t>Zach Hickmore</t>
  </si>
  <si>
    <t>London, UK</t>
  </si>
  <si>
    <t>Mistake management, teen athlete confidence</t>
  </si>
  <si>
    <t>Jenny Weall</t>
  </si>
  <si>
    <t>Brighton, UK</t>
  </si>
  <si>
    <t>Youth mental health and performance integration</t>
  </si>
  <si>
    <t>Louis Ross</t>
  </si>
  <si>
    <t>Performance routines for junior competitors</t>
  </si>
  <si>
    <t>Ross Shand</t>
  </si>
  <si>
    <t>Motivation and long-term youth development</t>
  </si>
  <si>
    <t>Dr. Michelle Bartlett</t>
  </si>
  <si>
    <t>theperformancepursuit.com</t>
  </si>
  <si>
    <t>Dallas, TX</t>
  </si>
  <si>
    <t>Youth mental skills, performance anxiety</t>
  </si>
  <si>
    <t>Emily Marcinowski</t>
  </si>
  <si>
    <t>sharpenskillstraining.com</t>
  </si>
  <si>
    <t>Volleyball / Multi</t>
  </si>
  <si>
    <t>Ohio</t>
  </si>
  <si>
    <t>High school/JO travel volleyball focus</t>
  </si>
  <si>
    <t>Abbie Ainslie</t>
  </si>
  <si>
    <t>Gymnastics / Dance</t>
  </si>
  <si>
    <t>Youth gymnastics and dance performance</t>
  </si>
  <si>
    <t>Kiersten Grumbos</t>
  </si>
  <si>
    <t>Soccer / Rugby</t>
  </si>
  <si>
    <t>Middle/high school soccer and team sports</t>
  </si>
  <si>
    <t>Dr. Paul McCarthy</t>
  </si>
  <si>
    <t>drpaulmccarthy.com</t>
  </si>
  <si>
    <t>Adolescent mistake management, regulation</t>
  </si>
  <si>
    <t>Dr. Andrew Lane</t>
  </si>
  <si>
    <t>wlv.ac.uk</t>
  </si>
  <si>
    <t>Emotional regulation in junior endurance sport</t>
  </si>
  <si>
    <t>Dr. Jessica Bartley</t>
  </si>
  <si>
    <t>usopc.org</t>
  </si>
  <si>
    <t>Colorado Springs</t>
  </si>
  <si>
    <t>USOPC youth transition, eating disorders</t>
  </si>
  <si>
    <t>Dr. Karen Cogan</t>
  </si>
  <si>
    <t>Youth Olympic mental preparation</t>
  </si>
  <si>
    <t>Dr. Sari Shepphird</t>
  </si>
  <si>
    <t>https://www.google.com/search?q=calisportpsych.com</t>
  </si>
  <si>
    <t>Aesthetic / Team</t>
  </si>
  <si>
    <t>Body image, judged sports (dance/gymnastics)</t>
  </si>
  <si>
    <t>Dr. Julie Amato</t>
  </si>
  <si>
    <t>championmindset.com</t>
  </si>
  <si>
    <t>New Jersey</t>
  </si>
  <si>
    <t>Recruiting stress, perfectionism, teens</t>
  </si>
  <si>
    <t>Dr. Bhrett McCabe</t>
  </si>
  <si>
    <t>themindside.com</t>
  </si>
  <si>
    <t>Golf / Baseball</t>
  </si>
  <si>
    <t>Birmingham, AL</t>
  </si>
  <si>
    <t>Competitive mindset, youth performance slumps</t>
  </si>
  <si>
    <t>Dr. Chris Stankovich</t>
  </si>
  <si>
    <t>drstankovich.com</t>
  </si>
  <si>
    <t>Columbus, OH</t>
  </si>
  <si>
    <t>Life skills, parent guidance, youth burnout</t>
  </si>
  <si>
    <t>Dr. Alison Pope-Rodriquez</t>
  </si>
  <si>
    <t>sportperformance.com</t>
  </si>
  <si>
    <t>Denver, CO</t>
  </si>
  <si>
    <t>Adolescent identity, injury recovery</t>
  </si>
  <si>
    <t>Dr. Jason Novetsky</t>
  </si>
  <si>
    <t>https://www.google.com/search?q=mindrightpsyc.com</t>
  </si>
  <si>
    <t>Detroit, MI</t>
  </si>
  <si>
    <t>Focus, handling mistakes, youth workshops</t>
  </si>
  <si>
    <t>Dr. Justin Ross</t>
  </si>
  <si>
    <t>https://www.google.com/search?q=coloradosport.com</t>
  </si>
  <si>
    <t>Performance routines, teen athlete anxiety</t>
  </si>
  <si>
    <t>Dr. Cindra Kamphoff</t>
  </si>
  <si>
    <t>cindrakamphoff.com</t>
  </si>
  <si>
    <t>Mankato, MN</t>
  </si>
  <si>
    <t>Grit, leadership for young athletes</t>
  </si>
  <si>
    <t>Dr. Jody Adewale</t>
  </si>
  <si>
    <t>sportpsychology.com</t>
  </si>
  <si>
    <t>Family dynamics, youth pressure management</t>
  </si>
  <si>
    <t>Dr. Haley Perlus</t>
  </si>
  <si>
    <t>drhaleyperlus.com</t>
  </si>
  <si>
    <t>Colorado</t>
  </si>
  <si>
    <t>Parent education, competitive teen mindset</t>
  </si>
  <si>
    <t>Dr. Christina Heilman</t>
  </si>
  <si>
    <t>Jackson, WY</t>
  </si>
  <si>
    <t>Fear of failure, youth enjoyment in sport</t>
  </si>
  <si>
    <t>Dr. Kristin Keim</t>
  </si>
  <si>
    <t>Overtraining, identity, youth transitions</t>
  </si>
  <si>
    <t>Dr. Julie Wiernik</t>
  </si>
  <si>
    <t>drjuliewiernik.com</t>
  </si>
  <si>
    <t>San Antonio, TX</t>
  </si>
  <si>
    <t>Family-centered youth performance</t>
  </si>
  <si>
    <t>winnersunlimited.com</t>
  </si>
  <si>
    <t>Overland Park, KS</t>
  </si>
  <si>
    <t>Radio/media expert, youth mental toughness</t>
  </si>
  <si>
    <t>Dari Watkins</t>
  </si>
  <si>
    <t>Adolescent performance, team culture</t>
  </si>
  <si>
    <t>peakmpc.com</t>
  </si>
  <si>
    <t>Clinical skills for high-achieving youth</t>
  </si>
  <si>
    <t>Unlimited Resilience Team</t>
  </si>
  <si>
    <t>Youth resilience, mental health bridge</t>
  </si>
  <si>
    <t>Dr. Patrick Cohn</t>
  </si>
  <si>
    <t>peaksports.com</t>
  </si>
  <si>
    <t>Orlando, FL</t>
  </si>
  <si>
    <t>Confidence, youth focus, parent coaching</t>
  </si>
  <si>
    <t>Jaclyn Ellis</t>
  </si>
  <si>
    <t>Soccer / Tennis</t>
  </si>
  <si>
    <t>Cognitive programs, youth soccer specialized</t>
  </si>
  <si>
    <t>Brock McCormack</t>
  </si>
  <si>
    <t>Baseball / Golf</t>
  </si>
  <si>
    <t>Mental performance for high schoolers</t>
  </si>
  <si>
    <t>Carolyne Lawley</t>
  </si>
  <si>
    <t>Basketball / Track</t>
  </si>
  <si>
    <t>Former pro, youth basketball specialist</t>
  </si>
  <si>
    <t>Dr. Jennifer Knight</t>
  </si>
  <si>
    <t>CMPC, youth focus and consistency</t>
  </si>
  <si>
    <t>Tanner Biwer</t>
  </si>
  <si>
    <t>Mental game for junior elite athletes</t>
  </si>
  <si>
    <t>Dr. McKenzie Bromback</t>
  </si>
  <si>
    <t>Research-backed youth performance skills</t>
  </si>
  <si>
    <t>Nate Penz</t>
  </si>
  <si>
    <t>Relational approach for all ages</t>
  </si>
  <si>
    <t>Eugene Wentworth</t>
  </si>
  <si>
    <t>Pressure management for teen athletes</t>
  </si>
  <si>
    <t>Dr. Adam Gallenberg</t>
  </si>
  <si>
    <t>Combat / Multi</t>
  </si>
  <si>
    <t>Youth combat sports (Boxing/MMA) focus</t>
  </si>
  <si>
    <t>Dr. Ben Merkling</t>
  </si>
  <si>
    <t>Evidence-based youth mental training</t>
  </si>
  <si>
    <t>Dr. Lauren Zimmerman</t>
  </si>
  <si>
    <t>Strengths-based adolescent care</t>
  </si>
  <si>
    <t>Alexandra Wulbecker</t>
  </si>
  <si>
    <t>Athletic counseling for high schoolers</t>
  </si>
  <si>
    <t>Eiron Sanchez</t>
  </si>
  <si>
    <t>Clinical counseling &amp; mental performance</t>
  </si>
  <si>
    <t>Dr. Harlan Austin</t>
  </si>
  <si>
    <t>High-stakes performance for youth</t>
  </si>
  <si>
    <t>Dr. Chris Carr</t>
  </si>
  <si>
    <t>Indianapolis, IN</t>
  </si>
  <si>
    <t>Pacer’s team psych, youth clinical focus</t>
  </si>
  <si>
    <t>Dr. R. Kweku Amoasi</t>
  </si>
  <si>
    <t>Basketball / Multi</t>
  </si>
  <si>
    <t>Milwaukee, WI</t>
  </si>
  <si>
    <t>Trauma-informed youth performance</t>
  </si>
  <si>
    <t>Anne-Marie Kennedy</t>
  </si>
  <si>
    <t>Ireland/UK</t>
  </si>
  <si>
    <t>Youth performance, mindfulness</t>
  </si>
  <si>
    <t>https://unlimitedresiliencellc.com/</t>
  </si>
  <si>
    <t>https://www.mindset-coach.com/</t>
  </si>
  <si>
    <t>https://www.keimperformanceconsulting.com/</t>
  </si>
  <si>
    <t xml:space="preserve">Dr. Matthew Flynn </t>
  </si>
  <si>
    <t>https://www.drjenknight.com/</t>
  </si>
  <si>
    <t>https://theperformancepursuitconsulting.com/read-tanners-bio</t>
  </si>
  <si>
    <t>https://premiersportpsychology.com/our-team/mckenzie-bromback/</t>
  </si>
  <si>
    <t>https://premiersportpsychology.com/our-team/nate-penz/</t>
  </si>
  <si>
    <t>https://premiersportpsychology.com/our-team/eugene-wentworth/</t>
  </si>
  <si>
    <t>https://premiersportpsychology.com/our-team/dr-adam-gallenberg/</t>
  </si>
  <si>
    <t>https://premiersportpsychology.com/our-team/dr-ben-merkling/</t>
  </si>
  <si>
    <t>https://premiersportpsychology.com/our-team/dr-lauren-zimmerman/</t>
  </si>
  <si>
    <t>https://premiersportpsychology.com/our-team/alexandra-wulbecker-smith/</t>
  </si>
  <si>
    <t>https://premiersportpsychology.com/our-team/eiron-sanchez/</t>
  </si>
  <si>
    <t>https://premiersportpsychology.com/our-team/dr-harlan-austin/</t>
  </si>
  <si>
    <t>https://www.linkedin.com/in/chris-carr-50b5687/</t>
  </si>
  <si>
    <t>https://www.usopc.org/meet-the-psych-services-team</t>
  </si>
  <si>
    <t>https://members.believeperform.com/author/annekennedy/</t>
  </si>
  <si>
    <t>https://staging.csipacific.ca/team-members/sharleen-hoar/</t>
  </si>
  <si>
    <t>https://www.golfmind.co.uk/golfmind-team/dr-brian-hemmings/</t>
  </si>
  <si>
    <t>https://www.bu.edu/prsocial/profile/edson-filho/</t>
  </si>
  <si>
    <t>https://www.ntu.ac.uk/staff-profiles/science-technology/chris-harwood</t>
  </si>
  <si>
    <t>https://www.vanessachafosphd.com/</t>
  </si>
  <si>
    <t>https://appliedsportpsych.org/certification/cmpc-directory/profile/448</t>
  </si>
  <si>
    <t>https://www.psychologytoday.com/us/therapists/taylor-sorenson-los-angeles-ca/493381</t>
  </si>
  <si>
    <t>https://www.psychologytoday.com/us/therapists/daniel-jude-nichols-phoenix-az/735921</t>
  </si>
  <si>
    <t>https://www.psychologytoday.com/us/therapists/auran-piatigorsky-berkeley-ca/1572220</t>
  </si>
  <si>
    <t>https://theathletenow.com/role/sport-and-exercise-psychologist/</t>
  </si>
  <si>
    <t>https://theperformancepursuitconsulting.com/read-michelles-bio</t>
  </si>
  <si>
    <t>https://sharpenskillstraining.com/staff/</t>
  </si>
  <si>
    <t xml:space="preserve"> CA</t>
  </si>
  <si>
    <t xml:space="preserve"> AL</t>
  </si>
  <si>
    <t xml:space="preserve"> OH</t>
  </si>
  <si>
    <t xml:space="preserve"> CO</t>
  </si>
  <si>
    <t>Detroit</t>
  </si>
  <si>
    <t xml:space="preserve"> MI</t>
  </si>
  <si>
    <t xml:space="preserve"> MN</t>
  </si>
  <si>
    <t xml:space="preserve"> WY</t>
  </si>
  <si>
    <t xml:space="preserve"> TX</t>
  </si>
  <si>
    <t>Overland Park</t>
  </si>
  <si>
    <t xml:space="preserve"> KS</t>
  </si>
  <si>
    <t>Dallas</t>
  </si>
  <si>
    <t xml:space="preserve"> FL</t>
  </si>
  <si>
    <t>Minneapolis</t>
  </si>
  <si>
    <t xml:space="preserve"> IN</t>
  </si>
  <si>
    <t>Milwaukee</t>
  </si>
  <si>
    <t xml:space="preserve"> WI</t>
  </si>
  <si>
    <t>Annapolis</t>
  </si>
  <si>
    <t xml:space="preserve"> MD</t>
  </si>
  <si>
    <t>Savannah</t>
  </si>
  <si>
    <t xml:space="preserve"> GA</t>
  </si>
  <si>
    <t>Atlanta</t>
  </si>
  <si>
    <t>St. Louis</t>
  </si>
  <si>
    <t xml:space="preserve"> MO</t>
  </si>
  <si>
    <t>Webster</t>
  </si>
  <si>
    <t>Edina</t>
  </si>
  <si>
    <t>Victoria</t>
  </si>
  <si>
    <t xml:space="preserve"> BC (CAN)</t>
  </si>
  <si>
    <t>Boston</t>
  </si>
  <si>
    <t xml:space="preserve"> MA</t>
  </si>
  <si>
    <t>Princeton</t>
  </si>
  <si>
    <t xml:space="preserve"> NJ</t>
  </si>
  <si>
    <t>Sedona</t>
  </si>
  <si>
    <t xml:space="preserve"> AZ</t>
  </si>
  <si>
    <t>Phoenix</t>
  </si>
  <si>
    <t xml:space="preserve"> UK</t>
  </si>
  <si>
    <t>London</t>
  </si>
  <si>
    <t>Brighton</t>
  </si>
  <si>
    <t>NJ</t>
  </si>
  <si>
    <t>CO</t>
  </si>
  <si>
    <t>OH</t>
  </si>
  <si>
    <t>Sport Tags</t>
  </si>
  <si>
    <t>Problem tags</t>
  </si>
  <si>
    <t>Expertise Tags</t>
  </si>
  <si>
    <t>golf</t>
  </si>
  <si>
    <t>baseball</t>
  </si>
  <si>
    <t>soccer</t>
  </si>
  <si>
    <t>tennis</t>
  </si>
  <si>
    <t>gymnastics</t>
  </si>
  <si>
    <t>volleyball</t>
  </si>
  <si>
    <t>hockey</t>
  </si>
  <si>
    <t>endurance</t>
  </si>
  <si>
    <t>dance</t>
  </si>
  <si>
    <t>figure skating</t>
  </si>
  <si>
    <t>multi-sport</t>
  </si>
  <si>
    <t>anxiety, nerves</t>
  </si>
  <si>
    <t>performance-anxiety</t>
  </si>
  <si>
    <t>fear, pressure</t>
  </si>
  <si>
    <t>pressure</t>
  </si>
  <si>
    <t>perfectionism</t>
  </si>
  <si>
    <t>injury recovery</t>
  </si>
  <si>
    <t>injury-recovery</t>
  </si>
  <si>
    <t>burnout</t>
  </si>
  <si>
    <t>recruiting stress</t>
  </si>
  <si>
    <t>recruiting</t>
  </si>
  <si>
    <t>identity</t>
  </si>
  <si>
    <t>confidence</t>
  </si>
  <si>
    <t>mistakes</t>
  </si>
  <si>
    <t>eating disorders</t>
  </si>
  <si>
    <t>athlete-health</t>
  </si>
  <si>
    <t>focus</t>
  </si>
  <si>
    <t>mental toughness</t>
  </si>
  <si>
    <t>resilience</t>
  </si>
  <si>
    <t>motivation</t>
  </si>
  <si>
    <t>mindset</t>
  </si>
  <si>
    <t>leadership</t>
  </si>
  <si>
    <t>consistency</t>
  </si>
  <si>
    <t>running</t>
  </si>
  <si>
    <t>cross country</t>
  </si>
  <si>
    <t>softball</t>
  </si>
  <si>
    <t xml:space="preserve"> anxiety, perfectionism,confidence, focus, golf, baseball, basketball, football, soccer, field hockey, hockey, softball</t>
  </si>
  <si>
    <t>youth resilience</t>
  </si>
  <si>
    <t>youth focus</t>
  </si>
  <si>
    <t>mindfulness</t>
  </si>
  <si>
    <t>military-style resilience for youth athletes</t>
  </si>
  <si>
    <t>Eating disorders in youth sport</t>
  </si>
  <si>
    <t>High school/JO travel volleyball, focus</t>
  </si>
  <si>
    <t>Motivation, long-term youth development</t>
  </si>
  <si>
    <t>golf, baseball, soccer, hockey, softball</t>
  </si>
  <si>
    <t>performance, confidence</t>
  </si>
  <si>
    <t>injury-recovery, perfectionism, confidence</t>
  </si>
  <si>
    <t>perfectionism, recruiting</t>
  </si>
  <si>
    <t>recruiting, perfectionism</t>
  </si>
  <si>
    <t>perfectionism, injury-recovery</t>
  </si>
  <si>
    <t>confidence, focus</t>
  </si>
  <si>
    <t>mental toughness, confidence, focus</t>
  </si>
  <si>
    <t>focus, confidence, focus</t>
  </si>
  <si>
    <t>resilience, confidence, focus</t>
  </si>
  <si>
    <t>confidence, focus, confidence, focus</t>
  </si>
  <si>
    <t>confidence, confidence, focus</t>
  </si>
  <si>
    <t>resilience, mental toughness, confidence, focus</t>
  </si>
  <si>
    <t>motivation, consistency, confidence, focus</t>
  </si>
  <si>
    <t>motivation, confidence, focus</t>
  </si>
  <si>
    <t>motivation, mental toughness, confidence, focus</t>
  </si>
  <si>
    <t>focus, leadership, resilience, motivation, confidence,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</si>
</sst>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u/>
      <sz val="9"/>
      <color theme="1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1" fillId="0" borderId="0" xfId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" fillId="0" borderId="2" xfId="1" applyBorder="1" applyAlignment="1">
      <alignment vertical="center"/>
    </xf>
    <xf numFmtId="0" fontId="0" fillId="0" borderId="0" xfId="0" applyFill="1"/>
    <xf numFmtId="0" fontId="3" fillId="0" borderId="0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vertical="center"/>
    </xf>
    <xf numFmtId="0" fontId="0" fillId="0" borderId="0" xfId="0" applyAlignme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/>
    <xf numFmtId="0" fontId="0" fillId="0" borderId="5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nlimitedresiliencellc.com/join-our-team/" TargetMode="External"/><Relationship Id="rId18" Type="http://schemas.openxmlformats.org/officeDocument/2006/relationships/hyperlink" Target="https://theperformancepursuitconsulting.com/" TargetMode="External"/><Relationship Id="rId26" Type="http://schemas.openxmlformats.org/officeDocument/2006/relationships/hyperlink" Target="https://drjuliewiernik.com/about/" TargetMode="External"/><Relationship Id="rId39" Type="http://schemas.openxmlformats.org/officeDocument/2006/relationships/hyperlink" Target="https://www.sanarai.com/bilingual-psychologist" TargetMode="External"/><Relationship Id="rId21" Type="http://schemas.openxmlformats.org/officeDocument/2006/relationships/hyperlink" Target="https://www.peakmpc.com/about" TargetMode="External"/><Relationship Id="rId34" Type="http://schemas.openxmlformats.org/officeDocument/2006/relationships/hyperlink" Target="https://www.facebook.com/groups/158783775422784/posts/1341395867161563/" TargetMode="External"/><Relationship Id="rId42" Type="http://schemas.openxmlformats.org/officeDocument/2006/relationships/hyperlink" Target="https://aspiremindset.com/" TargetMode="External"/><Relationship Id="rId7" Type="http://schemas.openxmlformats.org/officeDocument/2006/relationships/hyperlink" Target="https://www.drjoann.com/" TargetMode="External"/><Relationship Id="rId2" Type="http://schemas.openxmlformats.org/officeDocument/2006/relationships/hyperlink" Target="https://www.peaksports.com/online-sports-psychology-virtual-sessions-for-athletes/" TargetMode="External"/><Relationship Id="rId16" Type="http://schemas.openxmlformats.org/officeDocument/2006/relationships/hyperlink" Target="https://theperformancepursuitconsulting.com/" TargetMode="External"/><Relationship Id="rId20" Type="http://schemas.openxmlformats.org/officeDocument/2006/relationships/hyperlink" Target="https://www.peakmpc.com/about" TargetMode="External"/><Relationship Id="rId29" Type="http://schemas.openxmlformats.org/officeDocument/2006/relationships/hyperlink" Target="https://www.winnersunlimited.com/" TargetMode="External"/><Relationship Id="rId41" Type="http://schemas.openxmlformats.org/officeDocument/2006/relationships/hyperlink" Target="https://www.sanarai.com/bilingual-psychologist" TargetMode="External"/><Relationship Id="rId1" Type="http://schemas.openxmlformats.org/officeDocument/2006/relationships/hyperlink" Target="https://www.peaksports.com/" TargetMode="External"/><Relationship Id="rId6" Type="http://schemas.openxmlformats.org/officeDocument/2006/relationships/hyperlink" Target="https://www.kidssportspsychology.com/virtual-sports-psychology-for-kids/" TargetMode="External"/><Relationship Id="rId11" Type="http://schemas.openxmlformats.org/officeDocument/2006/relationships/hyperlink" Target="https://maximizethemind.com/" TargetMode="External"/><Relationship Id="rId24" Type="http://schemas.openxmlformats.org/officeDocument/2006/relationships/hyperlink" Target="https://mindbodyendurance.com/sport-psychology/psychologists/" TargetMode="External"/><Relationship Id="rId32" Type="http://schemas.openxmlformats.org/officeDocument/2006/relationships/hyperlink" Target="https://zencare.co/us/texas/houston/practices/specialty/sports-psychology" TargetMode="External"/><Relationship Id="rId37" Type="http://schemas.openxmlformats.org/officeDocument/2006/relationships/hyperlink" Target="https://www.youthsportspsychology.com/youth_sports_psychology_blog/tag/peak-sports-video/" TargetMode="External"/><Relationship Id="rId40" Type="http://schemas.openxmlformats.org/officeDocument/2006/relationships/hyperlink" Target="https://www.sanarai.com/bilingual-psychologist" TargetMode="External"/><Relationship Id="rId5" Type="http://schemas.openxmlformats.org/officeDocument/2006/relationships/hyperlink" Target="https://www.kidssportspsychology.com/virtual-sports-psychology-for-kids/" TargetMode="External"/><Relationship Id="rId15" Type="http://schemas.openxmlformats.org/officeDocument/2006/relationships/hyperlink" Target="https://unlimitedresiliencellc.com/join-our-team/" TargetMode="External"/><Relationship Id="rId23" Type="http://schemas.openxmlformats.org/officeDocument/2006/relationships/hyperlink" Target="https://mindbodyendurance.com/sport-psychology/psychologists/" TargetMode="External"/><Relationship Id="rId28" Type="http://schemas.openxmlformats.org/officeDocument/2006/relationships/hyperlink" Target="https://www.winnersunlimited.com/" TargetMode="External"/><Relationship Id="rId36" Type="http://schemas.openxmlformats.org/officeDocument/2006/relationships/hyperlink" Target="https://www.youthsportspsychology.com/youth_sports_psychology_blog/tag/peak-sports-video/" TargetMode="External"/><Relationship Id="rId10" Type="http://schemas.openxmlformats.org/officeDocument/2006/relationships/hyperlink" Target="https://maximizethemind.com/" TargetMode="External"/><Relationship Id="rId19" Type="http://schemas.openxmlformats.org/officeDocument/2006/relationships/hyperlink" Target="https://www.peakmpc.com/about" TargetMode="External"/><Relationship Id="rId31" Type="http://schemas.openxmlformats.org/officeDocument/2006/relationships/hyperlink" Target="https://zencare.co/us/texas/houston/practices/specialty/sports-psychology" TargetMode="External"/><Relationship Id="rId4" Type="http://schemas.openxmlformats.org/officeDocument/2006/relationships/hyperlink" Target="https://www.kidssportspsychology.com/" TargetMode="External"/><Relationship Id="rId9" Type="http://schemas.openxmlformats.org/officeDocument/2006/relationships/hyperlink" Target="https://www.drjoann.com/" TargetMode="External"/><Relationship Id="rId14" Type="http://schemas.openxmlformats.org/officeDocument/2006/relationships/hyperlink" Target="https://unlimitedresiliencellc.com/join-our-team/" TargetMode="External"/><Relationship Id="rId22" Type="http://schemas.openxmlformats.org/officeDocument/2006/relationships/hyperlink" Target="https://mindbodyendurance.com/sport-psychology/psychologists/" TargetMode="External"/><Relationship Id="rId27" Type="http://schemas.openxmlformats.org/officeDocument/2006/relationships/hyperlink" Target="https://drjuliewiernik.com/about/" TargetMode="External"/><Relationship Id="rId30" Type="http://schemas.openxmlformats.org/officeDocument/2006/relationships/hyperlink" Target="https://www.winnersunlimited.com/" TargetMode="External"/><Relationship Id="rId35" Type="http://schemas.openxmlformats.org/officeDocument/2006/relationships/hyperlink" Target="https://www.facebook.com/groups/158783775422784/posts/1341395867161563/" TargetMode="External"/><Relationship Id="rId43" Type="http://schemas.openxmlformats.org/officeDocument/2006/relationships/hyperlink" Target="https://unlimitedresiliencellc.com/" TargetMode="External"/><Relationship Id="rId8" Type="http://schemas.openxmlformats.org/officeDocument/2006/relationships/hyperlink" Target="https://www.drjoann.com/" TargetMode="External"/><Relationship Id="rId3" Type="http://schemas.openxmlformats.org/officeDocument/2006/relationships/hyperlink" Target="https://www.peaksports.com/online-sports-psychology-virtual-sessions-for-athletes/" TargetMode="External"/><Relationship Id="rId12" Type="http://schemas.openxmlformats.org/officeDocument/2006/relationships/hyperlink" Target="https://maximizethemind.com/" TargetMode="External"/><Relationship Id="rId17" Type="http://schemas.openxmlformats.org/officeDocument/2006/relationships/hyperlink" Target="https://theperformancepursuitconsulting.com/" TargetMode="External"/><Relationship Id="rId25" Type="http://schemas.openxmlformats.org/officeDocument/2006/relationships/hyperlink" Target="https://drjuliewiernik.com/about/" TargetMode="External"/><Relationship Id="rId33" Type="http://schemas.openxmlformats.org/officeDocument/2006/relationships/hyperlink" Target="https://zencare.co/us/texas/houston/practices/specialty/sports-psychology" TargetMode="External"/><Relationship Id="rId38" Type="http://schemas.openxmlformats.org/officeDocument/2006/relationships/hyperlink" Target="https://www.youthsportspsychology.com/youth_sports_psychology_blog/tag/peak-sports-video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indbodyendurance.com/sport-psychology/psychologists/" TargetMode="External"/><Relationship Id="rId13" Type="http://schemas.openxmlformats.org/officeDocument/2006/relationships/hyperlink" Target="https://www.youthsportspsychology.com/youth_sports_psychology_blog/tag/peak-sports-video/" TargetMode="External"/><Relationship Id="rId3" Type="http://schemas.openxmlformats.org/officeDocument/2006/relationships/hyperlink" Target="https://www.drjoann.com/" TargetMode="External"/><Relationship Id="rId7" Type="http://schemas.openxmlformats.org/officeDocument/2006/relationships/hyperlink" Target="https://www.peakmpc.com/about" TargetMode="External"/><Relationship Id="rId12" Type="http://schemas.openxmlformats.org/officeDocument/2006/relationships/hyperlink" Target="https://www.facebook.com/groups/158783775422784/posts/1341395867161563/" TargetMode="External"/><Relationship Id="rId2" Type="http://schemas.openxmlformats.org/officeDocument/2006/relationships/hyperlink" Target="https://www.kidssportspsychology.com/virtual-sports-psychology-for-kids/" TargetMode="External"/><Relationship Id="rId1" Type="http://schemas.openxmlformats.org/officeDocument/2006/relationships/hyperlink" Target="https://www.peaksports.com/online-sports-psychology-virtual-sessions-for-athletes/" TargetMode="External"/><Relationship Id="rId6" Type="http://schemas.openxmlformats.org/officeDocument/2006/relationships/hyperlink" Target="https://theperformancepursuitconsulting.com/" TargetMode="External"/><Relationship Id="rId11" Type="http://schemas.openxmlformats.org/officeDocument/2006/relationships/hyperlink" Target="https://zencare.co/us/texas/houston/practices/specialty/sports-psychology" TargetMode="External"/><Relationship Id="rId5" Type="http://schemas.openxmlformats.org/officeDocument/2006/relationships/hyperlink" Target="https://unlimitedresiliencellc.com/join-our-team/" TargetMode="External"/><Relationship Id="rId10" Type="http://schemas.openxmlformats.org/officeDocument/2006/relationships/hyperlink" Target="https://www.winnersunlimited.com/" TargetMode="External"/><Relationship Id="rId4" Type="http://schemas.openxmlformats.org/officeDocument/2006/relationships/hyperlink" Target="https://maximizethemind.com/" TargetMode="External"/><Relationship Id="rId9" Type="http://schemas.openxmlformats.org/officeDocument/2006/relationships/hyperlink" Target="https://drjuliewiernik.com/about/" TargetMode="External"/><Relationship Id="rId14" Type="http://schemas.openxmlformats.org/officeDocument/2006/relationships/hyperlink" Target="https://www.sanarai.com/bilingual-psychologist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ndrightpsyc.com/" TargetMode="External"/><Relationship Id="rId13" Type="http://schemas.openxmlformats.org/officeDocument/2006/relationships/hyperlink" Target="https://www.calisportpsych.com/" TargetMode="External"/><Relationship Id="rId3" Type="http://schemas.openxmlformats.org/officeDocument/2006/relationships/hyperlink" Target="https://www.betterperformance.org/" TargetMode="External"/><Relationship Id="rId7" Type="http://schemas.openxmlformats.org/officeDocument/2006/relationships/hyperlink" Target="https://www.themindside.com/" TargetMode="External"/><Relationship Id="rId12" Type="http://schemas.openxmlformats.org/officeDocument/2006/relationships/hyperlink" Target="https://www.headstrongconsulting.com/" TargetMode="External"/><Relationship Id="rId2" Type="http://schemas.openxmlformats.org/officeDocument/2006/relationships/hyperlink" Target="https://www.premiersportpsychology.com/" TargetMode="External"/><Relationship Id="rId1" Type="http://schemas.openxmlformats.org/officeDocument/2006/relationships/hyperlink" Target="https://www.keimperformanceconsulting.com/" TargetMode="External"/><Relationship Id="rId6" Type="http://schemas.openxmlformats.org/officeDocument/2006/relationships/hyperlink" Target="https://www.sportandperformancepsych.com/" TargetMode="External"/><Relationship Id="rId11" Type="http://schemas.openxmlformats.org/officeDocument/2006/relationships/hyperlink" Target="https://www.sportstrata.com/" TargetMode="External"/><Relationship Id="rId5" Type="http://schemas.openxmlformats.org/officeDocument/2006/relationships/hyperlink" Target="https://drstankovich.com/" TargetMode="External"/><Relationship Id="rId15" Type="http://schemas.openxmlformats.org/officeDocument/2006/relationships/hyperlink" Target="https://www.championmindsetconsulting.com/" TargetMode="External"/><Relationship Id="rId10" Type="http://schemas.openxmlformats.org/officeDocument/2006/relationships/hyperlink" Target="https://www.coloradosportpsychology.com/" TargetMode="External"/><Relationship Id="rId4" Type="http://schemas.openxmlformats.org/officeDocument/2006/relationships/hyperlink" Target="https://drhaleyperlus.com/" TargetMode="External"/><Relationship Id="rId9" Type="http://schemas.openxmlformats.org/officeDocument/2006/relationships/hyperlink" Target="https://www.winningwithinsportspsychology.com/" TargetMode="External"/><Relationship Id="rId14" Type="http://schemas.openxmlformats.org/officeDocument/2006/relationships/hyperlink" Target="https://www.sportpsychologyforathletes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unlimitedresiliencell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48E9-5252-4418-A994-6F191121F70E}">
  <dimension ref="A1:L100"/>
  <sheetViews>
    <sheetView tabSelected="1" topLeftCell="A77" zoomScale="75" zoomScaleNormal="75" workbookViewId="0">
      <selection activeCell="L1" sqref="A1:L100"/>
    </sheetView>
  </sheetViews>
  <sheetFormatPr defaultRowHeight="15" x14ac:dyDescent="0.25"/>
  <cols>
    <col min="1" max="1" width="38.42578125" customWidth="1"/>
    <col min="2" max="2" width="25" customWidth="1"/>
    <col min="3" max="3" width="12.85546875" bestFit="1" customWidth="1"/>
    <col min="4" max="4" width="23.28515625" bestFit="1" customWidth="1"/>
    <col min="5" max="5" width="18.5703125" bestFit="1" customWidth="1"/>
    <col min="6" max="6" width="9.140625" customWidth="1"/>
    <col min="7" max="7" width="11.28515625" customWidth="1"/>
    <col min="8" max="8" width="16.28515625" bestFit="1" customWidth="1"/>
    <col min="9" max="9" width="10.85546875" bestFit="1" customWidth="1"/>
    <col min="10" max="10" width="35.5703125" bestFit="1" customWidth="1"/>
    <col min="11" max="11" width="38.85546875" bestFit="1" customWidth="1"/>
    <col min="12" max="12" width="54.28515625" bestFit="1" customWidth="1"/>
  </cols>
  <sheetData>
    <row r="1" spans="1:12" s="5" customFormat="1" ht="24.75" thickBot="1" x14ac:dyDescent="0.3">
      <c r="A1" s="4" t="s">
        <v>0</v>
      </c>
      <c r="B1" s="4" t="s">
        <v>1</v>
      </c>
      <c r="C1" s="4" t="s">
        <v>2</v>
      </c>
      <c r="D1" s="4" t="s">
        <v>171</v>
      </c>
      <c r="E1" s="4" t="s">
        <v>172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506</v>
      </c>
      <c r="K1" s="4" t="s">
        <v>507</v>
      </c>
      <c r="L1" s="4" t="s">
        <v>508</v>
      </c>
    </row>
    <row r="2" spans="1:12" ht="132.75" thickBot="1" x14ac:dyDescent="0.3">
      <c r="A2" s="1" t="s">
        <v>14</v>
      </c>
      <c r="B2" s="2" t="s">
        <v>15</v>
      </c>
      <c r="C2" s="1" t="s">
        <v>16</v>
      </c>
      <c r="D2" s="1" t="s">
        <v>17</v>
      </c>
      <c r="E2" s="1" t="s">
        <v>17</v>
      </c>
      <c r="F2" s="1" t="s">
        <v>18</v>
      </c>
      <c r="G2" s="1" t="s">
        <v>19</v>
      </c>
      <c r="H2" s="2" t="s">
        <v>20</v>
      </c>
      <c r="I2" s="2" t="s">
        <v>545</v>
      </c>
      <c r="J2" t="s">
        <v>553</v>
      </c>
      <c r="K2" t="s">
        <v>524</v>
      </c>
      <c r="L2" t="s">
        <v>559</v>
      </c>
    </row>
    <row r="3" spans="1:12" ht="144.75" thickBot="1" x14ac:dyDescent="0.3">
      <c r="A3" s="1" t="s">
        <v>21</v>
      </c>
      <c r="B3" s="2" t="s">
        <v>22</v>
      </c>
      <c r="C3" s="1" t="s">
        <v>16</v>
      </c>
      <c r="D3" s="1" t="s">
        <v>17</v>
      </c>
      <c r="E3" s="1" t="s">
        <v>17</v>
      </c>
      <c r="F3" s="1" t="s">
        <v>18</v>
      </c>
      <c r="G3" s="1" t="s">
        <v>19</v>
      </c>
      <c r="H3" s="2" t="s">
        <v>23</v>
      </c>
      <c r="I3" s="2" t="s">
        <v>202</v>
      </c>
      <c r="J3" t="s">
        <v>553</v>
      </c>
      <c r="K3" t="s">
        <v>554</v>
      </c>
      <c r="L3" t="s">
        <v>560</v>
      </c>
    </row>
    <row r="4" spans="1:12" ht="144.75" thickBot="1" x14ac:dyDescent="0.3">
      <c r="A4" s="1" t="s">
        <v>24</v>
      </c>
      <c r="B4" s="2" t="s">
        <v>25</v>
      </c>
      <c r="C4" s="1" t="s">
        <v>16</v>
      </c>
      <c r="D4" s="1" t="s">
        <v>17</v>
      </c>
      <c r="E4" s="1" t="s">
        <v>17</v>
      </c>
      <c r="F4" s="1" t="s">
        <v>26</v>
      </c>
      <c r="G4" s="1" t="s">
        <v>27</v>
      </c>
      <c r="H4" s="2" t="s">
        <v>28</v>
      </c>
      <c r="I4" s="2" t="s">
        <v>174</v>
      </c>
      <c r="J4" t="s">
        <v>553</v>
      </c>
      <c r="K4" t="s">
        <v>554</v>
      </c>
      <c r="L4" t="s">
        <v>559</v>
      </c>
    </row>
    <row r="5" spans="1:12" ht="144.75" thickBot="1" x14ac:dyDescent="0.3">
      <c r="A5" s="1" t="s">
        <v>29</v>
      </c>
      <c r="B5" s="2" t="s">
        <v>30</v>
      </c>
      <c r="C5" s="1" t="s">
        <v>16</v>
      </c>
      <c r="D5" s="1" t="s">
        <v>17</v>
      </c>
      <c r="E5" s="1" t="s">
        <v>17</v>
      </c>
      <c r="F5" s="1" t="s">
        <v>31</v>
      </c>
      <c r="G5" s="1" t="s">
        <v>32</v>
      </c>
      <c r="H5" s="2" t="s">
        <v>33</v>
      </c>
      <c r="I5" s="2" t="s">
        <v>175</v>
      </c>
      <c r="J5" t="s">
        <v>553</v>
      </c>
      <c r="K5" t="s">
        <v>554</v>
      </c>
      <c r="L5" t="s">
        <v>561</v>
      </c>
    </row>
    <row r="6" spans="1:12" ht="132.75" thickBot="1" x14ac:dyDescent="0.3">
      <c r="A6" s="1" t="s">
        <v>34</v>
      </c>
      <c r="B6" s="2" t="s">
        <v>35</v>
      </c>
      <c r="C6" s="1" t="s">
        <v>16</v>
      </c>
      <c r="D6" s="1" t="s">
        <v>17</v>
      </c>
      <c r="E6" s="1" t="s">
        <v>17</v>
      </c>
      <c r="F6" s="1" t="s">
        <v>36</v>
      </c>
      <c r="G6" s="1" t="s">
        <v>37</v>
      </c>
      <c r="H6" s="2" t="s">
        <v>38</v>
      </c>
      <c r="I6" s="2" t="s">
        <v>176</v>
      </c>
      <c r="J6" t="s">
        <v>553</v>
      </c>
      <c r="K6" t="s">
        <v>554</v>
      </c>
      <c r="L6" t="s">
        <v>562</v>
      </c>
    </row>
    <row r="7" spans="1:12" ht="120.75" thickBot="1" x14ac:dyDescent="0.3">
      <c r="A7" s="1" t="s">
        <v>75</v>
      </c>
      <c r="B7" s="2" t="s">
        <v>39</v>
      </c>
      <c r="C7" s="1" t="s">
        <v>16</v>
      </c>
      <c r="D7" s="1" t="s">
        <v>17</v>
      </c>
      <c r="E7" s="1" t="s">
        <v>17</v>
      </c>
      <c r="F7" s="1" t="s">
        <v>40</v>
      </c>
      <c r="G7" s="1" t="s">
        <v>37</v>
      </c>
      <c r="H7" s="2" t="s">
        <v>41</v>
      </c>
      <c r="I7" s="2" t="s">
        <v>177</v>
      </c>
      <c r="J7" t="s">
        <v>553</v>
      </c>
      <c r="K7" t="s">
        <v>554</v>
      </c>
      <c r="L7" t="s">
        <v>559</v>
      </c>
    </row>
    <row r="8" spans="1:12" ht="132.75" thickBot="1" x14ac:dyDescent="0.3">
      <c r="A8" s="1" t="s">
        <v>42</v>
      </c>
      <c r="B8" s="2" t="s">
        <v>43</v>
      </c>
      <c r="C8" s="1" t="s">
        <v>16</v>
      </c>
      <c r="D8" s="1" t="s">
        <v>17</v>
      </c>
      <c r="E8" s="1" t="s">
        <v>17</v>
      </c>
      <c r="F8" s="1" t="s">
        <v>40</v>
      </c>
      <c r="G8" s="1" t="s">
        <v>37</v>
      </c>
      <c r="H8" s="2" t="s">
        <v>44</v>
      </c>
      <c r="I8" s="2" t="s">
        <v>178</v>
      </c>
      <c r="J8" t="s">
        <v>553</v>
      </c>
      <c r="K8" t="s">
        <v>554</v>
      </c>
      <c r="L8" t="s">
        <v>561</v>
      </c>
    </row>
    <row r="9" spans="1:12" ht="156.75" thickBot="1" x14ac:dyDescent="0.3">
      <c r="A9" s="1" t="s">
        <v>45</v>
      </c>
      <c r="B9" s="2" t="s">
        <v>46</v>
      </c>
      <c r="C9" s="1" t="s">
        <v>16</v>
      </c>
      <c r="D9" s="1" t="s">
        <v>17</v>
      </c>
      <c r="E9" s="1" t="s">
        <v>17</v>
      </c>
      <c r="F9" s="1" t="s">
        <v>47</v>
      </c>
      <c r="G9" s="1" t="s">
        <v>37</v>
      </c>
      <c r="H9" s="2" t="s">
        <v>48</v>
      </c>
      <c r="I9" s="2" t="s">
        <v>179</v>
      </c>
      <c r="J9" t="s">
        <v>553</v>
      </c>
      <c r="K9" t="s">
        <v>554</v>
      </c>
      <c r="L9" t="s">
        <v>559</v>
      </c>
    </row>
    <row r="10" spans="1:12" ht="144.75" thickBot="1" x14ac:dyDescent="0.3">
      <c r="A10" s="1" t="s">
        <v>49</v>
      </c>
      <c r="B10" s="2" t="s">
        <v>50</v>
      </c>
      <c r="C10" s="1" t="s">
        <v>16</v>
      </c>
      <c r="D10" s="1" t="s">
        <v>17</v>
      </c>
      <c r="E10" s="1" t="s">
        <v>17</v>
      </c>
      <c r="F10" s="1" t="s">
        <v>51</v>
      </c>
      <c r="G10" s="1" t="s">
        <v>32</v>
      </c>
      <c r="H10" s="2" t="s">
        <v>52</v>
      </c>
      <c r="I10" s="2" t="s">
        <v>180</v>
      </c>
      <c r="J10" t="s">
        <v>553</v>
      </c>
      <c r="K10" t="s">
        <v>554</v>
      </c>
      <c r="L10" t="s">
        <v>559</v>
      </c>
    </row>
    <row r="11" spans="1:12" ht="120.75" thickBot="1" x14ac:dyDescent="0.3">
      <c r="A11" s="1" t="s">
        <v>53</v>
      </c>
      <c r="B11" s="2" t="s">
        <v>54</v>
      </c>
      <c r="C11" s="1" t="s">
        <v>16</v>
      </c>
      <c r="D11" s="1" t="s">
        <v>17</v>
      </c>
      <c r="E11" s="1" t="s">
        <v>17</v>
      </c>
      <c r="F11" s="1" t="s">
        <v>55</v>
      </c>
      <c r="G11" s="1" t="s">
        <v>56</v>
      </c>
      <c r="H11" s="2" t="s">
        <v>57</v>
      </c>
      <c r="I11" s="2" t="s">
        <v>181</v>
      </c>
      <c r="J11" t="s">
        <v>553</v>
      </c>
      <c r="K11" t="s">
        <v>554</v>
      </c>
      <c r="L11" t="s">
        <v>563</v>
      </c>
    </row>
    <row r="12" spans="1:12" ht="144.75" thickBot="1" x14ac:dyDescent="0.3">
      <c r="A12" s="1" t="s">
        <v>58</v>
      </c>
      <c r="B12" s="2" t="s">
        <v>59</v>
      </c>
      <c r="C12" s="1" t="s">
        <v>16</v>
      </c>
      <c r="D12" s="1" t="s">
        <v>17</v>
      </c>
      <c r="E12" s="1" t="s">
        <v>17</v>
      </c>
      <c r="F12" s="1" t="s">
        <v>60</v>
      </c>
      <c r="G12" s="1" t="s">
        <v>32</v>
      </c>
      <c r="H12" s="2" t="s">
        <v>61</v>
      </c>
      <c r="I12" s="2" t="s">
        <v>182</v>
      </c>
      <c r="J12" t="s">
        <v>553</v>
      </c>
      <c r="K12" t="s">
        <v>554</v>
      </c>
      <c r="L12" t="s">
        <v>559</v>
      </c>
    </row>
    <row r="13" spans="1:12" ht="120.75" thickBot="1" x14ac:dyDescent="0.3">
      <c r="A13" s="1" t="s">
        <v>62</v>
      </c>
      <c r="B13" s="1" t="s">
        <v>63</v>
      </c>
      <c r="C13" s="1" t="s">
        <v>173</v>
      </c>
      <c r="D13" s="1" t="s">
        <v>17</v>
      </c>
      <c r="E13" s="1" t="s">
        <v>17</v>
      </c>
      <c r="F13" s="1" t="s">
        <v>64</v>
      </c>
      <c r="G13" s="1" t="s">
        <v>65</v>
      </c>
      <c r="H13" s="2" t="s">
        <v>66</v>
      </c>
      <c r="I13" s="2" t="s">
        <v>183</v>
      </c>
      <c r="J13" t="s">
        <v>553</v>
      </c>
      <c r="K13" t="s">
        <v>554</v>
      </c>
      <c r="L13" t="s">
        <v>559</v>
      </c>
    </row>
    <row r="14" spans="1:12" ht="132.75" thickBot="1" x14ac:dyDescent="0.3">
      <c r="A14" s="1" t="s">
        <v>67</v>
      </c>
      <c r="B14" s="2" t="s">
        <v>68</v>
      </c>
      <c r="C14" s="1" t="s">
        <v>16</v>
      </c>
      <c r="D14" s="1" t="s">
        <v>17</v>
      </c>
      <c r="E14" s="1" t="s">
        <v>17</v>
      </c>
      <c r="F14" s="1" t="s">
        <v>18</v>
      </c>
      <c r="G14" s="1" t="s">
        <v>19</v>
      </c>
      <c r="H14" s="2" t="s">
        <v>69</v>
      </c>
      <c r="I14" s="2" t="s">
        <v>184</v>
      </c>
      <c r="J14" t="s">
        <v>553</v>
      </c>
      <c r="K14" t="s">
        <v>554</v>
      </c>
      <c r="L14" t="s">
        <v>564</v>
      </c>
    </row>
    <row r="15" spans="1:12" ht="156.75" thickBot="1" x14ac:dyDescent="0.3">
      <c r="A15" s="1" t="s">
        <v>70</v>
      </c>
      <c r="B15" s="2" t="s">
        <v>71</v>
      </c>
      <c r="C15" s="1" t="s">
        <v>16</v>
      </c>
      <c r="D15" s="1" t="s">
        <v>17</v>
      </c>
      <c r="E15" s="1" t="s">
        <v>17</v>
      </c>
      <c r="F15" s="1" t="s">
        <v>72</v>
      </c>
      <c r="G15" s="1" t="s">
        <v>73</v>
      </c>
      <c r="H15" s="2" t="s">
        <v>74</v>
      </c>
      <c r="I15" s="2" t="s">
        <v>185</v>
      </c>
      <c r="J15" t="s">
        <v>553</v>
      </c>
      <c r="K15" t="s">
        <v>554</v>
      </c>
      <c r="L15" t="s">
        <v>559</v>
      </c>
    </row>
    <row r="16" spans="1:12" ht="144.75" thickBot="1" x14ac:dyDescent="0.3">
      <c r="A16" s="1" t="s">
        <v>76</v>
      </c>
      <c r="B16" s="2" t="s">
        <v>78</v>
      </c>
      <c r="C16" s="1" t="s">
        <v>16</v>
      </c>
      <c r="D16" s="1" t="s">
        <v>17</v>
      </c>
      <c r="E16" s="1" t="s">
        <v>17</v>
      </c>
      <c r="F16" s="1" t="s">
        <v>72</v>
      </c>
      <c r="G16" s="1" t="s">
        <v>37</v>
      </c>
      <c r="H16" s="2" t="s">
        <v>77</v>
      </c>
      <c r="I16" s="2" t="s">
        <v>193</v>
      </c>
      <c r="J16" t="s">
        <v>553</v>
      </c>
      <c r="K16" t="s">
        <v>554</v>
      </c>
      <c r="L16" t="s">
        <v>561</v>
      </c>
    </row>
    <row r="17" spans="1:12" ht="180.75" thickBot="1" x14ac:dyDescent="0.3">
      <c r="A17" s="1" t="s">
        <v>80</v>
      </c>
      <c r="B17" s="2" t="s">
        <v>81</v>
      </c>
      <c r="C17" s="1" t="s">
        <v>16</v>
      </c>
      <c r="D17" s="1" t="s">
        <v>17</v>
      </c>
      <c r="E17" s="1" t="s">
        <v>17</v>
      </c>
      <c r="F17" s="1" t="s">
        <v>83</v>
      </c>
      <c r="G17" s="1" t="s">
        <v>84</v>
      </c>
      <c r="H17" s="2" t="s">
        <v>85</v>
      </c>
      <c r="I17" s="2" t="s">
        <v>194</v>
      </c>
      <c r="J17" t="s">
        <v>553</v>
      </c>
      <c r="K17" t="s">
        <v>531</v>
      </c>
      <c r="L17" t="s">
        <v>559</v>
      </c>
    </row>
    <row r="18" spans="1:12" ht="192.75" thickBot="1" x14ac:dyDescent="0.3">
      <c r="A18" s="1" t="s">
        <v>87</v>
      </c>
      <c r="B18" s="2" t="s">
        <v>88</v>
      </c>
      <c r="C18" s="1" t="s">
        <v>16</v>
      </c>
      <c r="D18" s="1" t="s">
        <v>17</v>
      </c>
      <c r="E18" s="1" t="s">
        <v>17</v>
      </c>
      <c r="F18" s="1" t="s">
        <v>89</v>
      </c>
      <c r="G18" s="1" t="s">
        <v>90</v>
      </c>
      <c r="H18" s="2" t="s">
        <v>91</v>
      </c>
      <c r="I18" s="2" t="s">
        <v>195</v>
      </c>
      <c r="J18" t="s">
        <v>553</v>
      </c>
      <c r="K18" t="s">
        <v>524</v>
      </c>
      <c r="L18" t="s">
        <v>559</v>
      </c>
    </row>
    <row r="19" spans="1:12" ht="168.75" thickBot="1" x14ac:dyDescent="0.3">
      <c r="A19" s="1" t="s">
        <v>94</v>
      </c>
      <c r="B19" s="2" t="s">
        <v>95</v>
      </c>
      <c r="C19" s="1" t="s">
        <v>16</v>
      </c>
      <c r="D19" s="1" t="s">
        <v>17</v>
      </c>
      <c r="E19" s="1" t="s">
        <v>17</v>
      </c>
      <c r="F19" s="1" t="s">
        <v>97</v>
      </c>
      <c r="G19" s="1" t="s">
        <v>98</v>
      </c>
      <c r="H19" s="2" t="s">
        <v>99</v>
      </c>
      <c r="I19" s="2" t="s">
        <v>189</v>
      </c>
      <c r="J19" t="s">
        <v>553</v>
      </c>
      <c r="K19" t="s">
        <v>554</v>
      </c>
      <c r="L19" t="s">
        <v>565</v>
      </c>
    </row>
    <row r="20" spans="1:12" ht="192.75" thickBot="1" x14ac:dyDescent="0.3">
      <c r="A20" s="1" t="s">
        <v>101</v>
      </c>
      <c r="B20" s="2" t="s">
        <v>102</v>
      </c>
      <c r="C20" s="1" t="s">
        <v>16</v>
      </c>
      <c r="D20" s="1" t="s">
        <v>17</v>
      </c>
      <c r="E20" s="1" t="s">
        <v>17</v>
      </c>
      <c r="F20" s="1" t="s">
        <v>104</v>
      </c>
      <c r="G20" s="1" t="s">
        <v>105</v>
      </c>
      <c r="H20" s="2" t="s">
        <v>106</v>
      </c>
      <c r="I20" s="2" t="s">
        <v>190</v>
      </c>
      <c r="J20" t="s">
        <v>553</v>
      </c>
      <c r="K20" t="s">
        <v>554</v>
      </c>
      <c r="L20" t="s">
        <v>566</v>
      </c>
    </row>
    <row r="21" spans="1:12" ht="192.75" thickBot="1" x14ac:dyDescent="0.3">
      <c r="A21" s="1" t="s">
        <v>108</v>
      </c>
      <c r="B21" s="2" t="s">
        <v>109</v>
      </c>
      <c r="C21" s="1" t="s">
        <v>16</v>
      </c>
      <c r="D21" s="1" t="s">
        <v>17</v>
      </c>
      <c r="E21" s="1" t="s">
        <v>17</v>
      </c>
      <c r="F21" s="1" t="s">
        <v>83</v>
      </c>
      <c r="G21" s="1" t="s">
        <v>84</v>
      </c>
      <c r="H21" s="2" t="s">
        <v>110</v>
      </c>
      <c r="I21" s="2" t="s">
        <v>191</v>
      </c>
      <c r="J21" t="s">
        <v>553</v>
      </c>
      <c r="K21" t="s">
        <v>527</v>
      </c>
      <c r="L21" t="s">
        <v>567</v>
      </c>
    </row>
    <row r="22" spans="1:12" ht="156.75" thickBot="1" x14ac:dyDescent="0.3">
      <c r="A22" s="1" t="s">
        <v>112</v>
      </c>
      <c r="B22" s="2" t="s">
        <v>113</v>
      </c>
      <c r="C22" s="1" t="s">
        <v>16</v>
      </c>
      <c r="D22" s="1" t="s">
        <v>17</v>
      </c>
      <c r="E22" s="1" t="s">
        <v>17</v>
      </c>
      <c r="F22" s="1" t="s">
        <v>114</v>
      </c>
      <c r="G22" s="1" t="s">
        <v>105</v>
      </c>
      <c r="H22" s="2" t="s">
        <v>115</v>
      </c>
      <c r="I22" s="2" t="s">
        <v>196</v>
      </c>
      <c r="J22" t="s">
        <v>553</v>
      </c>
      <c r="K22" t="s">
        <v>555</v>
      </c>
      <c r="L22" t="s">
        <v>559</v>
      </c>
    </row>
    <row r="23" spans="1:12" ht="180.75" thickBot="1" x14ac:dyDescent="0.3">
      <c r="A23" s="1" t="s">
        <v>117</v>
      </c>
      <c r="B23" s="2" t="s">
        <v>118</v>
      </c>
      <c r="C23" s="1" t="s">
        <v>16</v>
      </c>
      <c r="D23" s="1" t="s">
        <v>17</v>
      </c>
      <c r="E23" s="1" t="s">
        <v>17</v>
      </c>
      <c r="F23" s="1" t="s">
        <v>120</v>
      </c>
      <c r="G23" s="1" t="s">
        <v>121</v>
      </c>
      <c r="H23" s="2" t="s">
        <v>122</v>
      </c>
      <c r="I23" s="2" t="s">
        <v>197</v>
      </c>
      <c r="J23" t="s">
        <v>553</v>
      </c>
      <c r="K23" t="s">
        <v>554</v>
      </c>
      <c r="L23" t="s">
        <v>568</v>
      </c>
    </row>
    <row r="24" spans="1:12" ht="180.75" thickBot="1" x14ac:dyDescent="0.3">
      <c r="A24" s="1" t="s">
        <v>124</v>
      </c>
      <c r="B24" s="2" t="s">
        <v>125</v>
      </c>
      <c r="C24" s="1" t="s">
        <v>16</v>
      </c>
      <c r="D24" s="1" t="s">
        <v>17</v>
      </c>
      <c r="E24" s="1" t="s">
        <v>17</v>
      </c>
      <c r="F24" s="1" t="s">
        <v>127</v>
      </c>
      <c r="G24" s="1" t="s">
        <v>128</v>
      </c>
      <c r="H24" s="2" t="s">
        <v>129</v>
      </c>
      <c r="I24" s="2" t="s">
        <v>192</v>
      </c>
      <c r="J24" t="s">
        <v>553</v>
      </c>
      <c r="K24" t="s">
        <v>554</v>
      </c>
      <c r="L24" t="s">
        <v>561</v>
      </c>
    </row>
    <row r="25" spans="1:12" ht="168.75" thickBot="1" x14ac:dyDescent="0.3">
      <c r="A25" s="1" t="s">
        <v>131</v>
      </c>
      <c r="B25" s="2" t="s">
        <v>132</v>
      </c>
      <c r="C25" s="1" t="s">
        <v>16</v>
      </c>
      <c r="D25" s="1" t="s">
        <v>17</v>
      </c>
      <c r="E25" s="1" t="s">
        <v>17</v>
      </c>
      <c r="F25" s="1" t="s">
        <v>133</v>
      </c>
      <c r="G25" s="1" t="s">
        <v>134</v>
      </c>
      <c r="H25" s="2" t="s">
        <v>135</v>
      </c>
      <c r="I25" s="2" t="s">
        <v>186</v>
      </c>
      <c r="J25" t="s">
        <v>553</v>
      </c>
      <c r="K25" t="s">
        <v>554</v>
      </c>
      <c r="L25" t="s">
        <v>559</v>
      </c>
    </row>
    <row r="26" spans="1:12" ht="180.75" thickBot="1" x14ac:dyDescent="0.3">
      <c r="A26" s="1" t="s">
        <v>137</v>
      </c>
      <c r="B26" s="2" t="s">
        <v>138</v>
      </c>
      <c r="C26" s="1" t="s">
        <v>16</v>
      </c>
      <c r="D26" s="1" t="s">
        <v>17</v>
      </c>
      <c r="E26" s="1" t="s">
        <v>17</v>
      </c>
      <c r="F26" s="1" t="s">
        <v>114</v>
      </c>
      <c r="G26" s="1" t="s">
        <v>105</v>
      </c>
      <c r="H26" s="2" t="s">
        <v>140</v>
      </c>
      <c r="I26" s="2" t="s">
        <v>198</v>
      </c>
      <c r="J26" t="s">
        <v>553</v>
      </c>
      <c r="K26" t="s">
        <v>554</v>
      </c>
      <c r="L26" t="s">
        <v>559</v>
      </c>
    </row>
    <row r="27" spans="1:12" ht="168.75" thickBot="1" x14ac:dyDescent="0.3">
      <c r="A27" s="1" t="s">
        <v>142</v>
      </c>
      <c r="B27" s="2" t="s">
        <v>143</v>
      </c>
      <c r="C27" s="1" t="s">
        <v>16</v>
      </c>
      <c r="D27" s="1" t="s">
        <v>17</v>
      </c>
      <c r="E27" s="1" t="s">
        <v>17</v>
      </c>
      <c r="F27" s="1" t="s">
        <v>144</v>
      </c>
      <c r="G27" s="1" t="s">
        <v>145</v>
      </c>
      <c r="H27" s="2" t="s">
        <v>146</v>
      </c>
      <c r="I27" s="2" t="s">
        <v>199</v>
      </c>
      <c r="J27" t="s">
        <v>553</v>
      </c>
      <c r="K27" t="s">
        <v>524</v>
      </c>
      <c r="L27" t="s">
        <v>559</v>
      </c>
    </row>
    <row r="28" spans="1:12" ht="168.75" thickBot="1" x14ac:dyDescent="0.3">
      <c r="A28" s="1" t="s">
        <v>149</v>
      </c>
      <c r="B28" s="2" t="s">
        <v>150</v>
      </c>
      <c r="C28" s="1" t="s">
        <v>16</v>
      </c>
      <c r="D28" s="1" t="s">
        <v>17</v>
      </c>
      <c r="E28" s="1" t="s">
        <v>17</v>
      </c>
      <c r="F28" s="1" t="s">
        <v>151</v>
      </c>
      <c r="G28" s="1" t="s">
        <v>90</v>
      </c>
      <c r="H28" s="2" t="s">
        <v>152</v>
      </c>
      <c r="I28" s="2" t="s">
        <v>187</v>
      </c>
      <c r="J28" t="s">
        <v>553</v>
      </c>
      <c r="K28" t="s">
        <v>554</v>
      </c>
      <c r="L28" t="s">
        <v>569</v>
      </c>
    </row>
    <row r="29" spans="1:12" ht="192.75" thickBot="1" x14ac:dyDescent="0.3">
      <c r="A29" s="1" t="s">
        <v>154</v>
      </c>
      <c r="B29" s="2" t="s">
        <v>155</v>
      </c>
      <c r="C29" s="1" t="s">
        <v>16</v>
      </c>
      <c r="D29" s="1" t="s">
        <v>17</v>
      </c>
      <c r="E29" s="1" t="s">
        <v>17</v>
      </c>
      <c r="F29" s="1" t="s">
        <v>157</v>
      </c>
      <c r="G29" s="1" t="s">
        <v>27</v>
      </c>
      <c r="H29" s="2" t="s">
        <v>158</v>
      </c>
      <c r="I29" s="2" t="s">
        <v>200</v>
      </c>
      <c r="J29" t="s">
        <v>553</v>
      </c>
      <c r="K29" t="s">
        <v>524</v>
      </c>
      <c r="L29" t="s">
        <v>559</v>
      </c>
    </row>
    <row r="30" spans="1:12" ht="192.75" thickBot="1" x14ac:dyDescent="0.3">
      <c r="A30" s="1" t="s">
        <v>160</v>
      </c>
      <c r="B30" s="2" t="s">
        <v>161</v>
      </c>
      <c r="C30" s="1" t="s">
        <v>16</v>
      </c>
      <c r="D30" s="1" t="s">
        <v>17</v>
      </c>
      <c r="E30" s="1" t="s">
        <v>17</v>
      </c>
      <c r="F30" s="1" t="s">
        <v>162</v>
      </c>
      <c r="G30" s="1" t="s">
        <v>27</v>
      </c>
      <c r="H30" s="2" t="s">
        <v>163</v>
      </c>
      <c r="I30" s="2" t="s">
        <v>201</v>
      </c>
      <c r="J30" t="s">
        <v>553</v>
      </c>
      <c r="K30" t="s">
        <v>554</v>
      </c>
      <c r="L30" t="s">
        <v>559</v>
      </c>
    </row>
    <row r="31" spans="1:12" ht="204.75" thickBot="1" x14ac:dyDescent="0.3">
      <c r="A31" s="1" t="s">
        <v>165</v>
      </c>
      <c r="B31" s="2" t="s">
        <v>166</v>
      </c>
      <c r="C31" s="1" t="s">
        <v>16</v>
      </c>
      <c r="D31" s="1" t="s">
        <v>17</v>
      </c>
      <c r="E31" s="1" t="s">
        <v>17</v>
      </c>
      <c r="F31" s="1" t="s">
        <v>168</v>
      </c>
      <c r="G31" s="1" t="s">
        <v>65</v>
      </c>
      <c r="H31" s="2" t="s">
        <v>169</v>
      </c>
      <c r="I31" s="2" t="s">
        <v>188</v>
      </c>
      <c r="J31" t="s">
        <v>553</v>
      </c>
      <c r="K31" t="s">
        <v>556</v>
      </c>
      <c r="L31" t="s">
        <v>562</v>
      </c>
    </row>
    <row r="32" spans="1:12" ht="15.75" thickBot="1" x14ac:dyDescent="0.3">
      <c r="A32" s="6" t="s">
        <v>332</v>
      </c>
      <c r="B32" s="7" t="s">
        <v>333</v>
      </c>
      <c r="C32" s="7" t="s">
        <v>334</v>
      </c>
      <c r="D32" s="7" t="s">
        <v>17</v>
      </c>
      <c r="E32" s="7" t="s">
        <v>17</v>
      </c>
      <c r="F32" s="7" t="s">
        <v>157</v>
      </c>
      <c r="G32" t="s">
        <v>465</v>
      </c>
      <c r="H32" s="7" t="s">
        <v>335</v>
      </c>
      <c r="I32" s="7" t="s">
        <v>335</v>
      </c>
      <c r="J32" t="s">
        <v>519</v>
      </c>
      <c r="K32" t="s">
        <v>554</v>
      </c>
      <c r="L32" t="s">
        <v>539</v>
      </c>
    </row>
    <row r="33" spans="1:12" ht="15.75" thickBot="1" x14ac:dyDescent="0.3">
      <c r="A33" s="6" t="s">
        <v>336</v>
      </c>
      <c r="B33" s="7" t="s">
        <v>337</v>
      </c>
      <c r="C33" s="7" t="s">
        <v>218</v>
      </c>
      <c r="D33" s="7" t="s">
        <v>17</v>
      </c>
      <c r="E33" s="7" t="s">
        <v>17</v>
      </c>
      <c r="F33" s="7" t="s">
        <v>338</v>
      </c>
      <c r="G33" s="10" t="s">
        <v>503</v>
      </c>
      <c r="H33" s="7" t="s">
        <v>339</v>
      </c>
      <c r="I33" s="7" t="s">
        <v>339</v>
      </c>
      <c r="J33" t="s">
        <v>519</v>
      </c>
      <c r="K33" t="s">
        <v>557</v>
      </c>
      <c r="L33" t="s">
        <v>539</v>
      </c>
    </row>
    <row r="34" spans="1:12" ht="15.75" thickBot="1" x14ac:dyDescent="0.3">
      <c r="A34" s="6" t="s">
        <v>340</v>
      </c>
      <c r="B34" s="7" t="s">
        <v>341</v>
      </c>
      <c r="C34" s="7" t="s">
        <v>342</v>
      </c>
      <c r="D34" s="7" t="s">
        <v>17</v>
      </c>
      <c r="E34" s="7" t="s">
        <v>17</v>
      </c>
      <c r="F34" s="7" t="s">
        <v>120</v>
      </c>
      <c r="G34" t="s">
        <v>466</v>
      </c>
      <c r="H34" s="7" t="s">
        <v>344</v>
      </c>
      <c r="I34" s="7" t="s">
        <v>344</v>
      </c>
      <c r="J34" t="s">
        <v>519</v>
      </c>
      <c r="K34" t="s">
        <v>554</v>
      </c>
      <c r="L34" t="s">
        <v>539</v>
      </c>
    </row>
    <row r="35" spans="1:12" ht="15.75" thickBot="1" x14ac:dyDescent="0.3">
      <c r="A35" s="6" t="s">
        <v>345</v>
      </c>
      <c r="B35" s="7" t="s">
        <v>346</v>
      </c>
      <c r="C35" s="7" t="s">
        <v>218</v>
      </c>
      <c r="D35" s="7" t="s">
        <v>17</v>
      </c>
      <c r="E35" s="7" t="s">
        <v>17</v>
      </c>
      <c r="F35" s="7" t="s">
        <v>83</v>
      </c>
      <c r="G35" t="s">
        <v>467</v>
      </c>
      <c r="H35" s="7" t="s">
        <v>348</v>
      </c>
      <c r="I35" s="7" t="s">
        <v>348</v>
      </c>
      <c r="J35" t="s">
        <v>519</v>
      </c>
      <c r="K35" t="s">
        <v>554</v>
      </c>
      <c r="L35" t="s">
        <v>539</v>
      </c>
    </row>
    <row r="36" spans="1:12" ht="15.75" thickBot="1" x14ac:dyDescent="0.3">
      <c r="A36" s="6" t="s">
        <v>349</v>
      </c>
      <c r="B36" s="7" t="s">
        <v>350</v>
      </c>
      <c r="C36" s="7" t="s">
        <v>218</v>
      </c>
      <c r="D36" s="7" t="s">
        <v>17</v>
      </c>
      <c r="E36" s="7" t="s">
        <v>17</v>
      </c>
      <c r="F36" s="7" t="s">
        <v>114</v>
      </c>
      <c r="G36" t="s">
        <v>468</v>
      </c>
      <c r="H36" s="7" t="s">
        <v>352</v>
      </c>
      <c r="I36" s="7" t="s">
        <v>352</v>
      </c>
      <c r="J36" t="s">
        <v>519</v>
      </c>
      <c r="K36" t="s">
        <v>526</v>
      </c>
      <c r="L36" t="s">
        <v>539</v>
      </c>
    </row>
    <row r="37" spans="1:12" ht="15.75" thickBot="1" x14ac:dyDescent="0.3">
      <c r="A37" s="6" t="s">
        <v>353</v>
      </c>
      <c r="B37" s="7" t="s">
        <v>354</v>
      </c>
      <c r="C37" s="7" t="s">
        <v>218</v>
      </c>
      <c r="D37" s="7" t="s">
        <v>17</v>
      </c>
      <c r="E37" s="7" t="s">
        <v>17</v>
      </c>
      <c r="F37" s="7" t="s">
        <v>469</v>
      </c>
      <c r="G37" t="s">
        <v>470</v>
      </c>
      <c r="H37" s="7" t="s">
        <v>356</v>
      </c>
      <c r="I37" s="7" t="s">
        <v>356</v>
      </c>
      <c r="J37" t="s">
        <v>519</v>
      </c>
      <c r="K37" t="s">
        <v>554</v>
      </c>
      <c r="L37" t="s">
        <v>535</v>
      </c>
    </row>
    <row r="38" spans="1:12" ht="15.75" thickBot="1" x14ac:dyDescent="0.3">
      <c r="A38" s="6" t="s">
        <v>357</v>
      </c>
      <c r="B38" s="7" t="s">
        <v>358</v>
      </c>
      <c r="C38" s="7" t="s">
        <v>227</v>
      </c>
      <c r="D38" s="7" t="s">
        <v>17</v>
      </c>
      <c r="E38" s="7" t="s">
        <v>17</v>
      </c>
      <c r="F38" s="7" t="s">
        <v>114</v>
      </c>
      <c r="G38" t="s">
        <v>468</v>
      </c>
      <c r="H38" s="7" t="s">
        <v>359</v>
      </c>
      <c r="I38" s="7" t="s">
        <v>359</v>
      </c>
      <c r="J38" t="s">
        <v>519</v>
      </c>
      <c r="K38" t="s">
        <v>554</v>
      </c>
      <c r="L38" t="s">
        <v>539</v>
      </c>
    </row>
    <row r="39" spans="1:12" ht="15.75" thickBot="1" x14ac:dyDescent="0.3">
      <c r="A39" s="6" t="s">
        <v>360</v>
      </c>
      <c r="B39" s="7" t="s">
        <v>361</v>
      </c>
      <c r="C39" s="7" t="s">
        <v>218</v>
      </c>
      <c r="D39" s="7" t="s">
        <v>17</v>
      </c>
      <c r="E39" s="7" t="s">
        <v>17</v>
      </c>
      <c r="F39" s="7" t="s">
        <v>151</v>
      </c>
      <c r="G39" t="s">
        <v>471</v>
      </c>
      <c r="H39" s="7" t="s">
        <v>363</v>
      </c>
      <c r="I39" s="7" t="s">
        <v>363</v>
      </c>
      <c r="J39" t="s">
        <v>519</v>
      </c>
      <c r="K39" t="s">
        <v>554</v>
      </c>
      <c r="L39" t="s">
        <v>539</v>
      </c>
    </row>
    <row r="40" spans="1:12" ht="15.75" thickBot="1" x14ac:dyDescent="0.3">
      <c r="A40" s="6" t="s">
        <v>364</v>
      </c>
      <c r="B40" s="7" t="s">
        <v>365</v>
      </c>
      <c r="C40" s="7" t="s">
        <v>218</v>
      </c>
      <c r="D40" s="7" t="s">
        <v>17</v>
      </c>
      <c r="E40" s="7" t="s">
        <v>17</v>
      </c>
      <c r="F40" s="7" t="s">
        <v>157</v>
      </c>
      <c r="G40" t="s">
        <v>465</v>
      </c>
      <c r="H40" s="7" t="s">
        <v>366</v>
      </c>
      <c r="I40" s="7" t="s">
        <v>366</v>
      </c>
      <c r="J40" t="s">
        <v>519</v>
      </c>
      <c r="K40" t="s">
        <v>554</v>
      </c>
      <c r="L40" t="s">
        <v>539</v>
      </c>
    </row>
    <row r="41" spans="1:12" ht="15.75" thickBot="1" x14ac:dyDescent="0.3">
      <c r="A41" s="6" t="s">
        <v>367</v>
      </c>
      <c r="B41" s="7" t="s">
        <v>368</v>
      </c>
      <c r="C41" s="7" t="s">
        <v>218</v>
      </c>
      <c r="D41" s="7" t="s">
        <v>17</v>
      </c>
      <c r="E41" s="7" t="s">
        <v>17</v>
      </c>
      <c r="F41" s="7" t="s">
        <v>369</v>
      </c>
      <c r="G41" s="11" t="s">
        <v>504</v>
      </c>
      <c r="H41" s="7" t="s">
        <v>370</v>
      </c>
      <c r="I41" s="7" t="s">
        <v>370</v>
      </c>
      <c r="J41" t="s">
        <v>519</v>
      </c>
      <c r="K41" t="s">
        <v>554</v>
      </c>
      <c r="L41" t="s">
        <v>539</v>
      </c>
    </row>
    <row r="42" spans="1:12" ht="15.75" thickBot="1" x14ac:dyDescent="0.3">
      <c r="A42" s="6" t="s">
        <v>371</v>
      </c>
      <c r="B42" s="7" t="s">
        <v>436</v>
      </c>
      <c r="C42" s="7" t="s">
        <v>218</v>
      </c>
      <c r="D42" s="7" t="s">
        <v>17</v>
      </c>
      <c r="E42" s="7" t="s">
        <v>17</v>
      </c>
      <c r="F42" s="7" t="s">
        <v>97</v>
      </c>
      <c r="G42" t="s">
        <v>472</v>
      </c>
      <c r="H42" s="7" t="s">
        <v>373</v>
      </c>
      <c r="I42" s="7" t="s">
        <v>373</v>
      </c>
      <c r="J42" t="s">
        <v>519</v>
      </c>
      <c r="K42" t="s">
        <v>554</v>
      </c>
      <c r="L42" t="s">
        <v>539</v>
      </c>
    </row>
    <row r="43" spans="1:12" ht="15.75" thickBot="1" x14ac:dyDescent="0.3">
      <c r="A43" s="6" t="s">
        <v>374</v>
      </c>
      <c r="B43" s="7" t="s">
        <v>437</v>
      </c>
      <c r="C43" s="7" t="s">
        <v>218</v>
      </c>
      <c r="D43" s="7" t="s">
        <v>17</v>
      </c>
      <c r="E43" s="7" t="s">
        <v>17</v>
      </c>
      <c r="F43" s="7" t="s">
        <v>83</v>
      </c>
      <c r="G43" t="s">
        <v>467</v>
      </c>
      <c r="H43" s="7" t="s">
        <v>375</v>
      </c>
      <c r="I43" s="7" t="s">
        <v>375</v>
      </c>
      <c r="J43" t="s">
        <v>519</v>
      </c>
      <c r="K43" t="s">
        <v>531</v>
      </c>
      <c r="L43" t="s">
        <v>539</v>
      </c>
    </row>
    <row r="44" spans="1:12" ht="15.75" thickBot="1" x14ac:dyDescent="0.3">
      <c r="A44" s="6" t="s">
        <v>376</v>
      </c>
      <c r="B44" s="7" t="s">
        <v>377</v>
      </c>
      <c r="C44" s="7" t="s">
        <v>218</v>
      </c>
      <c r="D44" s="7" t="s">
        <v>17</v>
      </c>
      <c r="E44" s="7" t="s">
        <v>17</v>
      </c>
      <c r="F44" s="7" t="s">
        <v>51</v>
      </c>
      <c r="G44" t="s">
        <v>473</v>
      </c>
      <c r="H44" s="7" t="s">
        <v>379</v>
      </c>
      <c r="I44" s="7" t="s">
        <v>379</v>
      </c>
      <c r="J44" t="s">
        <v>519</v>
      </c>
      <c r="K44" t="s">
        <v>554</v>
      </c>
      <c r="L44" t="s">
        <v>539</v>
      </c>
    </row>
    <row r="45" spans="1:12" ht="15.75" thickBot="1" x14ac:dyDescent="0.3">
      <c r="A45" s="6" t="s">
        <v>53</v>
      </c>
      <c r="B45" s="7" t="s">
        <v>380</v>
      </c>
      <c r="C45" s="7" t="s">
        <v>218</v>
      </c>
      <c r="D45" s="7" t="s">
        <v>17</v>
      </c>
      <c r="E45" s="7" t="s">
        <v>17</v>
      </c>
      <c r="F45" s="7" t="s">
        <v>474</v>
      </c>
      <c r="G45" t="s">
        <v>475</v>
      </c>
      <c r="H45" s="7" t="s">
        <v>382</v>
      </c>
      <c r="I45" s="7" t="s">
        <v>382</v>
      </c>
      <c r="J45" t="s">
        <v>519</v>
      </c>
      <c r="K45" t="s">
        <v>554</v>
      </c>
      <c r="L45" t="s">
        <v>539</v>
      </c>
    </row>
    <row r="46" spans="1:12" ht="15.75" thickBot="1" x14ac:dyDescent="0.3">
      <c r="A46" s="6" t="s">
        <v>383</v>
      </c>
      <c r="B46" s="7" t="s">
        <v>39</v>
      </c>
      <c r="C46" s="7" t="s">
        <v>218</v>
      </c>
      <c r="D46" s="7" t="s">
        <v>17</v>
      </c>
      <c r="E46" s="7" t="s">
        <v>17</v>
      </c>
      <c r="F46" s="7" t="s">
        <v>476</v>
      </c>
      <c r="G46" t="s">
        <v>473</v>
      </c>
      <c r="H46" s="7" t="s">
        <v>384</v>
      </c>
      <c r="I46" s="7" t="s">
        <v>384</v>
      </c>
      <c r="J46" t="s">
        <v>519</v>
      </c>
      <c r="K46" t="s">
        <v>554</v>
      </c>
      <c r="L46" t="s">
        <v>539</v>
      </c>
    </row>
    <row r="47" spans="1:12" ht="15.75" thickBot="1" x14ac:dyDescent="0.3">
      <c r="A47" s="6" t="s">
        <v>438</v>
      </c>
      <c r="B47" s="7" t="s">
        <v>385</v>
      </c>
      <c r="C47" s="7" t="s">
        <v>218</v>
      </c>
      <c r="D47" s="7" t="s">
        <v>17</v>
      </c>
      <c r="E47" s="7" t="s">
        <v>17</v>
      </c>
      <c r="F47" s="7" t="s">
        <v>252</v>
      </c>
      <c r="H47" s="7" t="s">
        <v>386</v>
      </c>
      <c r="I47" s="7" t="s">
        <v>386</v>
      </c>
      <c r="J47" t="s">
        <v>519</v>
      </c>
      <c r="K47" t="s">
        <v>554</v>
      </c>
      <c r="L47" t="s">
        <v>539</v>
      </c>
    </row>
    <row r="48" spans="1:12" ht="15.75" thickBot="1" x14ac:dyDescent="0.3">
      <c r="A48" s="6" t="s">
        <v>387</v>
      </c>
      <c r="B48" s="8" t="s">
        <v>435</v>
      </c>
      <c r="C48" s="7" t="s">
        <v>218</v>
      </c>
      <c r="D48" s="7" t="s">
        <v>17</v>
      </c>
      <c r="E48" s="7" t="s">
        <v>17</v>
      </c>
      <c r="F48" s="7" t="s">
        <v>252</v>
      </c>
      <c r="H48" s="7" t="s">
        <v>388</v>
      </c>
      <c r="I48" s="7" t="s">
        <v>388</v>
      </c>
      <c r="J48" t="s">
        <v>519</v>
      </c>
      <c r="K48" t="s">
        <v>554</v>
      </c>
      <c r="L48" t="s">
        <v>537</v>
      </c>
    </row>
    <row r="49" spans="1:12" ht="15.75" thickBot="1" x14ac:dyDescent="0.3">
      <c r="A49" s="6" t="s">
        <v>389</v>
      </c>
      <c r="B49" s="7" t="s">
        <v>390</v>
      </c>
      <c r="C49" s="7" t="s">
        <v>218</v>
      </c>
      <c r="D49" s="7" t="s">
        <v>17</v>
      </c>
      <c r="E49" s="7" t="s">
        <v>17</v>
      </c>
      <c r="F49" s="7" t="s">
        <v>18</v>
      </c>
      <c r="G49" t="s">
        <v>477</v>
      </c>
      <c r="H49" s="7" t="s">
        <v>392</v>
      </c>
      <c r="I49" s="7" t="s">
        <v>392</v>
      </c>
      <c r="J49" t="s">
        <v>519</v>
      </c>
      <c r="K49" t="s">
        <v>554</v>
      </c>
      <c r="L49" t="s">
        <v>559</v>
      </c>
    </row>
    <row r="50" spans="1:12" ht="15.75" thickBot="1" x14ac:dyDescent="0.3">
      <c r="A50" s="6" t="s">
        <v>393</v>
      </c>
      <c r="B50" s="7" t="s">
        <v>390</v>
      </c>
      <c r="C50" s="7" t="s">
        <v>394</v>
      </c>
      <c r="D50" s="7" t="s">
        <v>17</v>
      </c>
      <c r="E50" s="7" t="s">
        <v>17</v>
      </c>
      <c r="F50" s="7" t="s">
        <v>18</v>
      </c>
      <c r="G50" t="s">
        <v>477</v>
      </c>
      <c r="H50" s="7" t="s">
        <v>395</v>
      </c>
      <c r="I50" s="7" t="s">
        <v>395</v>
      </c>
      <c r="J50" t="s">
        <v>519</v>
      </c>
      <c r="K50" t="s">
        <v>554</v>
      </c>
      <c r="L50" t="s">
        <v>539</v>
      </c>
    </row>
    <row r="51" spans="1:12" ht="15.75" thickBot="1" x14ac:dyDescent="0.3">
      <c r="A51" s="6" t="s">
        <v>396</v>
      </c>
      <c r="B51" s="7" t="s">
        <v>390</v>
      </c>
      <c r="C51" s="7" t="s">
        <v>397</v>
      </c>
      <c r="D51" s="7" t="s">
        <v>17</v>
      </c>
      <c r="E51" s="7" t="s">
        <v>17</v>
      </c>
      <c r="F51" s="7" t="s">
        <v>18</v>
      </c>
      <c r="G51" t="s">
        <v>477</v>
      </c>
      <c r="H51" s="7" t="s">
        <v>398</v>
      </c>
      <c r="I51" s="7" t="s">
        <v>398</v>
      </c>
      <c r="J51" t="s">
        <v>519</v>
      </c>
      <c r="K51" t="s">
        <v>554</v>
      </c>
      <c r="L51" t="s">
        <v>539</v>
      </c>
    </row>
    <row r="52" spans="1:12" ht="15.75" thickBot="1" x14ac:dyDescent="0.3">
      <c r="A52" s="6" t="s">
        <v>399</v>
      </c>
      <c r="B52" s="7" t="s">
        <v>390</v>
      </c>
      <c r="C52" s="7" t="s">
        <v>400</v>
      </c>
      <c r="D52" s="7" t="s">
        <v>17</v>
      </c>
      <c r="E52" s="7" t="s">
        <v>17</v>
      </c>
      <c r="F52" s="7" t="s">
        <v>18</v>
      </c>
      <c r="G52" t="s">
        <v>477</v>
      </c>
      <c r="H52" s="7" t="s">
        <v>401</v>
      </c>
      <c r="I52" s="7" t="s">
        <v>401</v>
      </c>
      <c r="J52" t="s">
        <v>519</v>
      </c>
      <c r="K52" t="s">
        <v>554</v>
      </c>
      <c r="L52" t="s">
        <v>539</v>
      </c>
    </row>
    <row r="53" spans="1:12" ht="15.75" thickBot="1" x14ac:dyDescent="0.3">
      <c r="A53" s="6" t="s">
        <v>402</v>
      </c>
      <c r="B53" s="7" t="s">
        <v>439</v>
      </c>
      <c r="C53" s="7" t="s">
        <v>218</v>
      </c>
      <c r="D53" s="7" t="s">
        <v>17</v>
      </c>
      <c r="E53" s="7" t="s">
        <v>17</v>
      </c>
      <c r="F53" s="7" t="s">
        <v>252</v>
      </c>
      <c r="H53" s="7" t="s">
        <v>403</v>
      </c>
      <c r="I53" s="7" t="s">
        <v>403</v>
      </c>
      <c r="J53" t="s">
        <v>519</v>
      </c>
      <c r="K53" t="s">
        <v>554</v>
      </c>
      <c r="L53" t="s">
        <v>539</v>
      </c>
    </row>
    <row r="54" spans="1:12" ht="15.75" thickBot="1" x14ac:dyDescent="0.3">
      <c r="A54" s="6" t="s">
        <v>404</v>
      </c>
      <c r="B54" s="7" t="s">
        <v>440</v>
      </c>
      <c r="C54" s="7" t="s">
        <v>218</v>
      </c>
      <c r="D54" s="7" t="s">
        <v>17</v>
      </c>
      <c r="E54" s="7" t="s">
        <v>17</v>
      </c>
      <c r="F54" s="7" t="s">
        <v>252</v>
      </c>
      <c r="H54" s="7" t="s">
        <v>405</v>
      </c>
      <c r="I54" s="7" t="s">
        <v>405</v>
      </c>
      <c r="J54" t="s">
        <v>519</v>
      </c>
      <c r="K54" t="s">
        <v>554</v>
      </c>
      <c r="L54" t="s">
        <v>539</v>
      </c>
    </row>
    <row r="55" spans="1:12" ht="15.75" thickBot="1" x14ac:dyDescent="0.3">
      <c r="A55" s="6" t="s">
        <v>406</v>
      </c>
      <c r="B55" s="7" t="s">
        <v>441</v>
      </c>
      <c r="C55" s="7" t="s">
        <v>218</v>
      </c>
      <c r="D55" s="7" t="s">
        <v>17</v>
      </c>
      <c r="E55" s="7" t="s">
        <v>17</v>
      </c>
      <c r="F55" s="7" t="s">
        <v>478</v>
      </c>
      <c r="G55" t="s">
        <v>471</v>
      </c>
      <c r="H55" s="7" t="s">
        <v>407</v>
      </c>
      <c r="I55" s="7" t="s">
        <v>407</v>
      </c>
      <c r="J55" t="s">
        <v>519</v>
      </c>
      <c r="K55" t="s">
        <v>554</v>
      </c>
      <c r="L55" t="s">
        <v>539</v>
      </c>
    </row>
    <row r="56" spans="1:12" ht="15.75" thickBot="1" x14ac:dyDescent="0.3">
      <c r="A56" s="6" t="s">
        <v>408</v>
      </c>
      <c r="B56" s="7" t="s">
        <v>442</v>
      </c>
      <c r="C56" s="7" t="s">
        <v>218</v>
      </c>
      <c r="D56" s="7" t="s">
        <v>17</v>
      </c>
      <c r="E56" s="7" t="s">
        <v>17</v>
      </c>
      <c r="F56" s="7" t="s">
        <v>478</v>
      </c>
      <c r="G56" t="s">
        <v>471</v>
      </c>
      <c r="H56" s="7" t="s">
        <v>409</v>
      </c>
      <c r="I56" s="7" t="s">
        <v>409</v>
      </c>
      <c r="J56" t="s">
        <v>519</v>
      </c>
      <c r="K56" t="s">
        <v>554</v>
      </c>
      <c r="L56" t="s">
        <v>539</v>
      </c>
    </row>
    <row r="57" spans="1:12" ht="15.75" thickBot="1" x14ac:dyDescent="0.3">
      <c r="A57" s="6" t="s">
        <v>410</v>
      </c>
      <c r="B57" s="7" t="s">
        <v>443</v>
      </c>
      <c r="C57" s="7" t="s">
        <v>218</v>
      </c>
      <c r="D57" s="7" t="s">
        <v>17</v>
      </c>
      <c r="E57" s="7" t="s">
        <v>17</v>
      </c>
      <c r="F57" s="7" t="s">
        <v>478</v>
      </c>
      <c r="G57" t="s">
        <v>471</v>
      </c>
      <c r="H57" s="7" t="s">
        <v>411</v>
      </c>
      <c r="I57" s="7" t="s">
        <v>411</v>
      </c>
      <c r="J57" t="s">
        <v>519</v>
      </c>
      <c r="K57" t="s">
        <v>554</v>
      </c>
      <c r="L57" t="s">
        <v>539</v>
      </c>
    </row>
    <row r="58" spans="1:12" ht="15.75" thickBot="1" x14ac:dyDescent="0.3">
      <c r="A58" s="6" t="s">
        <v>412</v>
      </c>
      <c r="B58" s="7" t="s">
        <v>444</v>
      </c>
      <c r="C58" s="7" t="s">
        <v>413</v>
      </c>
      <c r="D58" s="7" t="s">
        <v>17</v>
      </c>
      <c r="E58" s="7" t="s">
        <v>17</v>
      </c>
      <c r="F58" s="7" t="s">
        <v>478</v>
      </c>
      <c r="G58" t="s">
        <v>471</v>
      </c>
      <c r="H58" s="7" t="s">
        <v>414</v>
      </c>
      <c r="I58" s="7" t="s">
        <v>414</v>
      </c>
      <c r="J58" t="s">
        <v>519</v>
      </c>
      <c r="K58" t="s">
        <v>554</v>
      </c>
      <c r="L58" t="s">
        <v>539</v>
      </c>
    </row>
    <row r="59" spans="1:12" ht="15.75" thickBot="1" x14ac:dyDescent="0.3">
      <c r="A59" s="6" t="s">
        <v>415</v>
      </c>
      <c r="B59" s="7" t="s">
        <v>445</v>
      </c>
      <c r="C59" s="7" t="s">
        <v>218</v>
      </c>
      <c r="D59" s="7" t="s">
        <v>17</v>
      </c>
      <c r="E59" s="7" t="s">
        <v>17</v>
      </c>
      <c r="F59" s="7" t="s">
        <v>478</v>
      </c>
      <c r="G59" t="s">
        <v>471</v>
      </c>
      <c r="H59" s="7" t="s">
        <v>416</v>
      </c>
      <c r="I59" s="7" t="s">
        <v>416</v>
      </c>
      <c r="J59" t="s">
        <v>519</v>
      </c>
      <c r="K59" t="s">
        <v>554</v>
      </c>
      <c r="L59" t="s">
        <v>539</v>
      </c>
    </row>
    <row r="60" spans="1:12" ht="15.75" thickBot="1" x14ac:dyDescent="0.3">
      <c r="A60" s="6" t="s">
        <v>417</v>
      </c>
      <c r="B60" s="9" t="s">
        <v>446</v>
      </c>
      <c r="C60" s="7" t="s">
        <v>218</v>
      </c>
      <c r="D60" s="7" t="s">
        <v>17</v>
      </c>
      <c r="E60" s="7" t="s">
        <v>17</v>
      </c>
      <c r="F60" s="7" t="s">
        <v>478</v>
      </c>
      <c r="G60" t="s">
        <v>471</v>
      </c>
      <c r="H60" s="7" t="s">
        <v>418</v>
      </c>
      <c r="I60" s="7" t="s">
        <v>418</v>
      </c>
      <c r="J60" t="s">
        <v>519</v>
      </c>
      <c r="K60" t="s">
        <v>554</v>
      </c>
      <c r="L60" t="s">
        <v>539</v>
      </c>
    </row>
    <row r="61" spans="1:12" ht="15.75" thickBot="1" x14ac:dyDescent="0.3">
      <c r="A61" s="6" t="s">
        <v>419</v>
      </c>
      <c r="B61" s="7" t="s">
        <v>447</v>
      </c>
      <c r="C61" s="7" t="s">
        <v>218</v>
      </c>
      <c r="D61" s="7" t="s">
        <v>17</v>
      </c>
      <c r="E61" s="7" t="s">
        <v>17</v>
      </c>
      <c r="F61" s="7" t="s">
        <v>478</v>
      </c>
      <c r="G61" t="s">
        <v>471</v>
      </c>
      <c r="H61" s="7" t="s">
        <v>420</v>
      </c>
      <c r="I61" s="7" t="s">
        <v>420</v>
      </c>
      <c r="J61" t="s">
        <v>519</v>
      </c>
      <c r="K61" t="s">
        <v>554</v>
      </c>
      <c r="L61" t="s">
        <v>539</v>
      </c>
    </row>
    <row r="62" spans="1:12" ht="15.75" thickBot="1" x14ac:dyDescent="0.3">
      <c r="A62" s="6" t="s">
        <v>421</v>
      </c>
      <c r="B62" s="7" t="s">
        <v>448</v>
      </c>
      <c r="C62" s="7" t="s">
        <v>218</v>
      </c>
      <c r="D62" s="7" t="s">
        <v>17</v>
      </c>
      <c r="E62" s="7" t="s">
        <v>17</v>
      </c>
      <c r="F62" s="7" t="s">
        <v>478</v>
      </c>
      <c r="G62" t="s">
        <v>471</v>
      </c>
      <c r="H62" s="7" t="s">
        <v>422</v>
      </c>
      <c r="I62" s="7" t="s">
        <v>422</v>
      </c>
      <c r="J62" t="s">
        <v>519</v>
      </c>
      <c r="K62" t="s">
        <v>554</v>
      </c>
      <c r="L62" t="s">
        <v>539</v>
      </c>
    </row>
    <row r="63" spans="1:12" ht="15.75" thickBot="1" x14ac:dyDescent="0.3">
      <c r="A63" s="6" t="s">
        <v>423</v>
      </c>
      <c r="B63" s="7" t="s">
        <v>449</v>
      </c>
      <c r="C63" s="7" t="s">
        <v>218</v>
      </c>
      <c r="D63" s="7" t="s">
        <v>17</v>
      </c>
      <c r="E63" s="7" t="s">
        <v>17</v>
      </c>
      <c r="F63" s="7" t="s">
        <v>478</v>
      </c>
      <c r="G63" t="s">
        <v>471</v>
      </c>
      <c r="H63" s="7" t="s">
        <v>424</v>
      </c>
      <c r="I63" s="7" t="s">
        <v>424</v>
      </c>
      <c r="J63" t="s">
        <v>519</v>
      </c>
      <c r="K63" t="s">
        <v>554</v>
      </c>
      <c r="L63" t="s">
        <v>539</v>
      </c>
    </row>
    <row r="64" spans="1:12" ht="15.75" thickBot="1" x14ac:dyDescent="0.3">
      <c r="A64" s="6" t="s">
        <v>425</v>
      </c>
      <c r="B64" s="7" t="s">
        <v>450</v>
      </c>
      <c r="C64" s="7" t="s">
        <v>218</v>
      </c>
      <c r="D64" s="7" t="s">
        <v>17</v>
      </c>
      <c r="E64" s="7" t="s">
        <v>17</v>
      </c>
      <c r="F64" s="7" t="s">
        <v>133</v>
      </c>
      <c r="G64" t="s">
        <v>479</v>
      </c>
      <c r="H64" s="7" t="s">
        <v>427</v>
      </c>
      <c r="I64" s="7" t="s">
        <v>427</v>
      </c>
      <c r="J64" t="s">
        <v>519</v>
      </c>
      <c r="K64" t="s">
        <v>554</v>
      </c>
      <c r="L64" t="s">
        <v>539</v>
      </c>
    </row>
    <row r="65" spans="1:12" ht="15.75" thickBot="1" x14ac:dyDescent="0.3">
      <c r="A65" s="6" t="s">
        <v>428</v>
      </c>
      <c r="B65" s="7" t="s">
        <v>451</v>
      </c>
      <c r="C65" s="7" t="s">
        <v>429</v>
      </c>
      <c r="D65" s="7" t="s">
        <v>17</v>
      </c>
      <c r="E65" s="7" t="s">
        <v>17</v>
      </c>
      <c r="F65" s="7" t="s">
        <v>480</v>
      </c>
      <c r="G65" t="s">
        <v>481</v>
      </c>
      <c r="H65" s="7" t="s">
        <v>431</v>
      </c>
      <c r="I65" s="7" t="s">
        <v>431</v>
      </c>
      <c r="J65" t="s">
        <v>519</v>
      </c>
      <c r="K65" t="s">
        <v>554</v>
      </c>
      <c r="L65" t="s">
        <v>539</v>
      </c>
    </row>
    <row r="66" spans="1:12" ht="15.75" thickBot="1" x14ac:dyDescent="0.3">
      <c r="A66" s="6" t="s">
        <v>432</v>
      </c>
      <c r="B66" s="7" t="s">
        <v>452</v>
      </c>
      <c r="C66" s="7" t="s">
        <v>218</v>
      </c>
      <c r="D66" s="7" t="s">
        <v>17</v>
      </c>
      <c r="E66" s="7" t="s">
        <v>17</v>
      </c>
      <c r="F66" s="7" t="s">
        <v>433</v>
      </c>
      <c r="G66" s="11" t="s">
        <v>266</v>
      </c>
      <c r="H66" s="7" t="s">
        <v>434</v>
      </c>
      <c r="I66" s="7" t="s">
        <v>434</v>
      </c>
      <c r="J66" t="s">
        <v>519</v>
      </c>
      <c r="K66" t="s">
        <v>554</v>
      </c>
      <c r="L66" t="s">
        <v>535</v>
      </c>
    </row>
    <row r="67" spans="1:12" ht="15.75" thickBot="1" x14ac:dyDescent="0.3">
      <c r="A67" s="6" t="s">
        <v>206</v>
      </c>
      <c r="B67" s="7" t="s">
        <v>207</v>
      </c>
      <c r="C67" s="7" t="s">
        <v>208</v>
      </c>
      <c r="D67" s="7" t="s">
        <v>17</v>
      </c>
      <c r="E67" s="7" t="s">
        <v>17</v>
      </c>
      <c r="F67" s="7" t="s">
        <v>482</v>
      </c>
      <c r="G67" t="s">
        <v>483</v>
      </c>
      <c r="H67" s="7" t="s">
        <v>210</v>
      </c>
      <c r="I67" s="7" t="s">
        <v>210</v>
      </c>
      <c r="J67" t="s">
        <v>519</v>
      </c>
      <c r="K67" t="s">
        <v>554</v>
      </c>
      <c r="L67" t="s">
        <v>539</v>
      </c>
    </row>
    <row r="68" spans="1:12" ht="15.75" thickBot="1" x14ac:dyDescent="0.3">
      <c r="A68" s="6" t="s">
        <v>211</v>
      </c>
      <c r="B68" s="7" t="s">
        <v>212</v>
      </c>
      <c r="C68" s="7" t="s">
        <v>213</v>
      </c>
      <c r="D68" s="7" t="s">
        <v>17</v>
      </c>
      <c r="E68" s="7" t="s">
        <v>17</v>
      </c>
      <c r="F68" s="7" t="s">
        <v>60</v>
      </c>
      <c r="G68" t="s">
        <v>473</v>
      </c>
      <c r="H68" s="7" t="s">
        <v>215</v>
      </c>
      <c r="I68" s="7" t="s">
        <v>215</v>
      </c>
      <c r="J68" t="s">
        <v>519</v>
      </c>
      <c r="K68" t="s">
        <v>554</v>
      </c>
      <c r="L68" t="s">
        <v>539</v>
      </c>
    </row>
    <row r="69" spans="1:12" ht="15.75" thickBot="1" x14ac:dyDescent="0.3">
      <c r="A69" s="6" t="s">
        <v>216</v>
      </c>
      <c r="B69" s="7" t="s">
        <v>217</v>
      </c>
      <c r="C69" s="7" t="s">
        <v>218</v>
      </c>
      <c r="D69" s="7" t="s">
        <v>17</v>
      </c>
      <c r="E69" s="7" t="s">
        <v>17</v>
      </c>
      <c r="F69" s="7" t="s">
        <v>484</v>
      </c>
      <c r="G69" t="s">
        <v>485</v>
      </c>
      <c r="H69" s="7" t="s">
        <v>220</v>
      </c>
      <c r="I69" s="7" t="s">
        <v>220</v>
      </c>
      <c r="J69" t="s">
        <v>519</v>
      </c>
      <c r="K69" t="s">
        <v>554</v>
      </c>
      <c r="L69" t="s">
        <v>537</v>
      </c>
    </row>
    <row r="70" spans="1:12" ht="15.75" thickBot="1" x14ac:dyDescent="0.3">
      <c r="A70" s="6" t="s">
        <v>221</v>
      </c>
      <c r="B70" s="7" t="s">
        <v>222</v>
      </c>
      <c r="C70" s="7" t="s">
        <v>218</v>
      </c>
      <c r="D70" s="7" t="s">
        <v>17</v>
      </c>
      <c r="E70" s="7" t="s">
        <v>17</v>
      </c>
      <c r="F70" s="7" t="s">
        <v>486</v>
      </c>
      <c r="G70" t="s">
        <v>485</v>
      </c>
      <c r="H70" s="7" t="s">
        <v>224</v>
      </c>
      <c r="I70" s="7" t="s">
        <v>224</v>
      </c>
      <c r="J70" t="s">
        <v>519</v>
      </c>
      <c r="K70" t="s">
        <v>554</v>
      </c>
      <c r="L70" t="s">
        <v>539</v>
      </c>
    </row>
    <row r="71" spans="1:12" ht="15.75" thickBot="1" x14ac:dyDescent="0.3">
      <c r="A71" s="6" t="s">
        <v>225</v>
      </c>
      <c r="B71" s="7" t="s">
        <v>226</v>
      </c>
      <c r="C71" s="7" t="s">
        <v>227</v>
      </c>
      <c r="D71" s="7" t="s">
        <v>17</v>
      </c>
      <c r="E71" s="7" t="s">
        <v>17</v>
      </c>
      <c r="F71" s="7" t="s">
        <v>487</v>
      </c>
      <c r="G71" t="s">
        <v>488</v>
      </c>
      <c r="H71" s="7" t="s">
        <v>229</v>
      </c>
      <c r="I71" s="7" t="s">
        <v>229</v>
      </c>
      <c r="J71" t="s">
        <v>516</v>
      </c>
      <c r="K71" t="s">
        <v>534</v>
      </c>
      <c r="L71" t="s">
        <v>539</v>
      </c>
    </row>
    <row r="72" spans="1:12" ht="15.75" thickBot="1" x14ac:dyDescent="0.3">
      <c r="A72" s="6" t="s">
        <v>230</v>
      </c>
      <c r="B72" s="7" t="s">
        <v>231</v>
      </c>
      <c r="C72" s="7" t="s">
        <v>218</v>
      </c>
      <c r="D72" s="7" t="s">
        <v>17</v>
      </c>
      <c r="E72" s="7" t="s">
        <v>17</v>
      </c>
      <c r="F72" s="7" t="s">
        <v>489</v>
      </c>
      <c r="G72" t="s">
        <v>473</v>
      </c>
      <c r="H72" s="7" t="s">
        <v>233</v>
      </c>
      <c r="I72" s="7" t="s">
        <v>233</v>
      </c>
      <c r="J72" t="s">
        <v>519</v>
      </c>
      <c r="K72" t="s">
        <v>558</v>
      </c>
      <c r="L72" t="s">
        <v>539</v>
      </c>
    </row>
    <row r="73" spans="1:12" ht="15.75" thickBot="1" x14ac:dyDescent="0.3">
      <c r="A73" s="6" t="s">
        <v>234</v>
      </c>
      <c r="B73" s="7" t="s">
        <v>235</v>
      </c>
      <c r="C73" s="7" t="s">
        <v>218</v>
      </c>
      <c r="D73" s="7" t="s">
        <v>17</v>
      </c>
      <c r="E73" s="7" t="s">
        <v>17</v>
      </c>
      <c r="F73" s="7" t="s">
        <v>236</v>
      </c>
      <c r="G73" s="7" t="s">
        <v>266</v>
      </c>
      <c r="H73" s="7" t="s">
        <v>237</v>
      </c>
      <c r="I73" s="7" t="s">
        <v>237</v>
      </c>
      <c r="J73" t="s">
        <v>519</v>
      </c>
      <c r="K73" t="s">
        <v>554</v>
      </c>
      <c r="L73" t="s">
        <v>539</v>
      </c>
    </row>
    <row r="74" spans="1:12" ht="15.75" thickBot="1" x14ac:dyDescent="0.3">
      <c r="A74" s="6" t="s">
        <v>238</v>
      </c>
      <c r="B74" s="7" t="s">
        <v>239</v>
      </c>
      <c r="C74" s="7" t="s">
        <v>240</v>
      </c>
      <c r="D74" s="7" t="s">
        <v>17</v>
      </c>
      <c r="E74" s="7" t="s">
        <v>17</v>
      </c>
      <c r="F74" s="7" t="s">
        <v>157</v>
      </c>
      <c r="G74" t="s">
        <v>465</v>
      </c>
      <c r="H74" s="7" t="s">
        <v>242</v>
      </c>
      <c r="I74" s="7" t="s">
        <v>242</v>
      </c>
      <c r="J74" t="s">
        <v>519</v>
      </c>
      <c r="K74" t="s">
        <v>554</v>
      </c>
      <c r="L74" t="s">
        <v>539</v>
      </c>
    </row>
    <row r="75" spans="1:12" ht="15.75" thickBot="1" x14ac:dyDescent="0.3">
      <c r="A75" s="6" t="s">
        <v>243</v>
      </c>
      <c r="B75" s="7" t="s">
        <v>244</v>
      </c>
      <c r="C75" s="7" t="s">
        <v>218</v>
      </c>
      <c r="D75" s="7" t="s">
        <v>17</v>
      </c>
      <c r="E75" s="7" t="s">
        <v>17</v>
      </c>
      <c r="F75" s="7" t="s">
        <v>478</v>
      </c>
      <c r="G75" t="s">
        <v>471</v>
      </c>
      <c r="H75" s="7" t="s">
        <v>246</v>
      </c>
      <c r="I75" s="7" t="s">
        <v>246</v>
      </c>
      <c r="J75" t="s">
        <v>519</v>
      </c>
      <c r="K75" t="s">
        <v>554</v>
      </c>
      <c r="L75" t="s">
        <v>535</v>
      </c>
    </row>
    <row r="76" spans="1:12" ht="15.75" thickBot="1" x14ac:dyDescent="0.3">
      <c r="A76" s="6" t="s">
        <v>247</v>
      </c>
      <c r="B76" s="7" t="s">
        <v>244</v>
      </c>
      <c r="C76" s="7" t="s">
        <v>218</v>
      </c>
      <c r="D76" s="7" t="s">
        <v>17</v>
      </c>
      <c r="E76" s="7" t="s">
        <v>17</v>
      </c>
      <c r="F76" s="7" t="s">
        <v>478</v>
      </c>
      <c r="G76" t="s">
        <v>471</v>
      </c>
      <c r="H76" s="7" t="s">
        <v>248</v>
      </c>
      <c r="I76" s="7" t="s">
        <v>248</v>
      </c>
      <c r="J76" t="s">
        <v>519</v>
      </c>
      <c r="K76" t="s">
        <v>554</v>
      </c>
      <c r="L76" t="s">
        <v>539</v>
      </c>
    </row>
    <row r="77" spans="1:12" ht="15.75" thickBot="1" x14ac:dyDescent="0.3">
      <c r="A77" s="6" t="s">
        <v>254</v>
      </c>
      <c r="B77" s="7" t="s">
        <v>244</v>
      </c>
      <c r="C77" s="7" t="s">
        <v>218</v>
      </c>
      <c r="D77" s="7" t="s">
        <v>17</v>
      </c>
      <c r="E77" s="7" t="s">
        <v>17</v>
      </c>
      <c r="F77" s="7" t="s">
        <v>478</v>
      </c>
      <c r="G77" t="s">
        <v>471</v>
      </c>
      <c r="H77" s="7" t="s">
        <v>255</v>
      </c>
      <c r="I77" s="7" t="s">
        <v>255</v>
      </c>
      <c r="J77" t="s">
        <v>519</v>
      </c>
      <c r="K77" t="s">
        <v>554</v>
      </c>
      <c r="L77" t="s">
        <v>537</v>
      </c>
    </row>
    <row r="78" spans="1:12" ht="15.75" thickBot="1" x14ac:dyDescent="0.3">
      <c r="A78" s="6" t="s">
        <v>256</v>
      </c>
      <c r="B78" s="7" t="s">
        <v>244</v>
      </c>
      <c r="C78" s="7" t="s">
        <v>218</v>
      </c>
      <c r="D78" s="7" t="s">
        <v>17</v>
      </c>
      <c r="E78" s="7" t="s">
        <v>17</v>
      </c>
      <c r="F78" s="7" t="s">
        <v>490</v>
      </c>
      <c r="G78" t="s">
        <v>471</v>
      </c>
      <c r="H78" s="7" t="s">
        <v>258</v>
      </c>
      <c r="I78" s="7" t="s">
        <v>258</v>
      </c>
      <c r="J78" t="s">
        <v>519</v>
      </c>
      <c r="K78" t="s">
        <v>554</v>
      </c>
      <c r="L78" t="s">
        <v>539</v>
      </c>
    </row>
    <row r="79" spans="1:12" ht="15.75" thickBot="1" x14ac:dyDescent="0.3">
      <c r="A79" s="6" t="s">
        <v>259</v>
      </c>
      <c r="B79" s="7" t="s">
        <v>453</v>
      </c>
      <c r="C79" s="7" t="s">
        <v>218</v>
      </c>
      <c r="D79" s="7" t="s">
        <v>17</v>
      </c>
      <c r="E79" s="7" t="s">
        <v>17</v>
      </c>
      <c r="F79" s="7" t="s">
        <v>491</v>
      </c>
      <c r="G79" t="s">
        <v>492</v>
      </c>
      <c r="H79" s="7" t="s">
        <v>262</v>
      </c>
      <c r="I79" s="7" t="s">
        <v>262</v>
      </c>
      <c r="J79" t="s">
        <v>519</v>
      </c>
      <c r="K79" t="s">
        <v>554</v>
      </c>
      <c r="L79" t="s">
        <v>539</v>
      </c>
    </row>
    <row r="80" spans="1:12" ht="15.75" thickBot="1" x14ac:dyDescent="0.3">
      <c r="A80" s="6" t="s">
        <v>263</v>
      </c>
      <c r="B80" s="7" t="s">
        <v>454</v>
      </c>
      <c r="C80" s="7" t="s">
        <v>265</v>
      </c>
      <c r="D80" s="7" t="s">
        <v>17</v>
      </c>
      <c r="E80" s="7" t="s">
        <v>17</v>
      </c>
      <c r="F80" s="7" t="s">
        <v>266</v>
      </c>
      <c r="G80" s="7" t="s">
        <v>266</v>
      </c>
      <c r="H80" s="7" t="s">
        <v>267</v>
      </c>
      <c r="I80" s="7" t="s">
        <v>267</v>
      </c>
      <c r="J80" t="s">
        <v>519</v>
      </c>
      <c r="K80" t="s">
        <v>554</v>
      </c>
      <c r="L80" t="s">
        <v>539</v>
      </c>
    </row>
    <row r="81" spans="1:12" ht="15.75" thickBot="1" x14ac:dyDescent="0.3">
      <c r="A81" s="6" t="s">
        <v>268</v>
      </c>
      <c r="B81" s="7" t="s">
        <v>455</v>
      </c>
      <c r="C81" s="7" t="s">
        <v>218</v>
      </c>
      <c r="D81" s="7" t="s">
        <v>17</v>
      </c>
      <c r="E81" s="7" t="s">
        <v>17</v>
      </c>
      <c r="F81" s="7" t="s">
        <v>493</v>
      </c>
      <c r="G81" t="s">
        <v>494</v>
      </c>
      <c r="H81" s="7" t="s">
        <v>271</v>
      </c>
      <c r="I81" s="7" t="s">
        <v>271</v>
      </c>
      <c r="J81" t="s">
        <v>519</v>
      </c>
      <c r="K81" t="s">
        <v>554</v>
      </c>
      <c r="L81" t="s">
        <v>539</v>
      </c>
    </row>
    <row r="82" spans="1:12" ht="15.75" thickBot="1" x14ac:dyDescent="0.3">
      <c r="A82" s="6" t="s">
        <v>272</v>
      </c>
      <c r="B82" s="7" t="s">
        <v>456</v>
      </c>
      <c r="C82" s="7" t="s">
        <v>274</v>
      </c>
      <c r="D82" s="7" t="s">
        <v>17</v>
      </c>
      <c r="E82" s="7" t="s">
        <v>17</v>
      </c>
      <c r="F82" s="7" t="s">
        <v>266</v>
      </c>
      <c r="G82" s="7" t="s">
        <v>266</v>
      </c>
      <c r="H82" s="7" t="s">
        <v>275</v>
      </c>
      <c r="I82" s="7" t="s">
        <v>275</v>
      </c>
      <c r="J82" t="s">
        <v>519</v>
      </c>
      <c r="K82" t="s">
        <v>554</v>
      </c>
      <c r="L82" t="s">
        <v>539</v>
      </c>
    </row>
    <row r="83" spans="1:12" ht="15.75" thickBot="1" x14ac:dyDescent="0.3">
      <c r="A83" s="6" t="s">
        <v>276</v>
      </c>
      <c r="B83" s="7" t="s">
        <v>457</v>
      </c>
      <c r="C83" s="7" t="s">
        <v>218</v>
      </c>
      <c r="D83" s="7" t="s">
        <v>17</v>
      </c>
      <c r="E83" s="7" t="s">
        <v>17</v>
      </c>
      <c r="F83" s="7" t="s">
        <v>495</v>
      </c>
      <c r="G83" t="s">
        <v>496</v>
      </c>
      <c r="H83" s="7" t="s">
        <v>279</v>
      </c>
      <c r="I83" s="7" t="s">
        <v>279</v>
      </c>
      <c r="J83" t="s">
        <v>519</v>
      </c>
      <c r="K83" t="s">
        <v>554</v>
      </c>
      <c r="L83" t="s">
        <v>539</v>
      </c>
    </row>
    <row r="84" spans="1:12" ht="15.75" thickBot="1" x14ac:dyDescent="0.3">
      <c r="A84" s="6" t="s">
        <v>280</v>
      </c>
      <c r="B84" s="7" t="s">
        <v>458</v>
      </c>
      <c r="C84" s="7" t="s">
        <v>218</v>
      </c>
      <c r="D84" s="7" t="s">
        <v>17</v>
      </c>
      <c r="E84" s="7" t="s">
        <v>17</v>
      </c>
      <c r="F84" s="7" t="s">
        <v>497</v>
      </c>
      <c r="G84" t="s">
        <v>498</v>
      </c>
      <c r="H84" s="7" t="s">
        <v>282</v>
      </c>
      <c r="I84" s="7" t="s">
        <v>282</v>
      </c>
      <c r="J84" t="s">
        <v>519</v>
      </c>
      <c r="K84" t="s">
        <v>554</v>
      </c>
      <c r="L84" t="s">
        <v>539</v>
      </c>
    </row>
    <row r="85" spans="1:12" ht="15.75" thickBot="1" x14ac:dyDescent="0.3">
      <c r="A85" s="6" t="s">
        <v>283</v>
      </c>
      <c r="B85" s="7" t="s">
        <v>459</v>
      </c>
      <c r="C85" s="7" t="s">
        <v>218</v>
      </c>
      <c r="D85" s="7" t="s">
        <v>17</v>
      </c>
      <c r="E85" s="7" t="s">
        <v>17</v>
      </c>
      <c r="F85" s="7" t="s">
        <v>157</v>
      </c>
      <c r="G85" t="s">
        <v>465</v>
      </c>
      <c r="H85" s="7" t="s">
        <v>284</v>
      </c>
      <c r="I85" s="7" t="s">
        <v>284</v>
      </c>
      <c r="J85" t="s">
        <v>519</v>
      </c>
      <c r="K85" t="s">
        <v>554</v>
      </c>
      <c r="L85" t="s">
        <v>535</v>
      </c>
    </row>
    <row r="86" spans="1:12" ht="15.75" thickBot="1" x14ac:dyDescent="0.3">
      <c r="A86" s="6" t="s">
        <v>285</v>
      </c>
      <c r="B86" s="7" t="s">
        <v>460</v>
      </c>
      <c r="C86" s="7" t="s">
        <v>218</v>
      </c>
      <c r="D86" s="7" t="s">
        <v>17</v>
      </c>
      <c r="E86" s="7" t="s">
        <v>17</v>
      </c>
      <c r="F86" s="7" t="s">
        <v>499</v>
      </c>
      <c r="G86" t="s">
        <v>498</v>
      </c>
      <c r="H86" s="7" t="s">
        <v>287</v>
      </c>
      <c r="I86" s="7" t="s">
        <v>287</v>
      </c>
      <c r="J86" t="s">
        <v>519</v>
      </c>
      <c r="K86" t="s">
        <v>554</v>
      </c>
      <c r="L86" t="s">
        <v>539</v>
      </c>
    </row>
    <row r="87" spans="1:12" ht="15.75" thickBot="1" x14ac:dyDescent="0.3">
      <c r="A87" s="6" t="s">
        <v>288</v>
      </c>
      <c r="B87" s="7" t="s">
        <v>461</v>
      </c>
      <c r="C87" s="7" t="s">
        <v>218</v>
      </c>
      <c r="D87" s="7" t="s">
        <v>17</v>
      </c>
      <c r="E87" s="7" t="s">
        <v>17</v>
      </c>
      <c r="F87" s="7" t="s">
        <v>289</v>
      </c>
      <c r="H87" s="7" t="s">
        <v>290</v>
      </c>
      <c r="I87" s="7" t="s">
        <v>290</v>
      </c>
      <c r="J87" t="s">
        <v>519</v>
      </c>
      <c r="K87" t="s">
        <v>554</v>
      </c>
      <c r="L87" t="s">
        <v>539</v>
      </c>
    </row>
    <row r="88" spans="1:12" ht="15.75" thickBot="1" x14ac:dyDescent="0.3">
      <c r="A88" s="6" t="s">
        <v>291</v>
      </c>
      <c r="B88" s="7" t="s">
        <v>462</v>
      </c>
      <c r="C88" s="7" t="s">
        <v>218</v>
      </c>
      <c r="D88" s="7" t="s">
        <v>17</v>
      </c>
      <c r="E88" s="7" t="s">
        <v>17</v>
      </c>
      <c r="F88" s="7" t="s">
        <v>120</v>
      </c>
      <c r="G88" t="s">
        <v>500</v>
      </c>
      <c r="H88" s="7" t="s">
        <v>294</v>
      </c>
      <c r="I88" s="7" t="s">
        <v>294</v>
      </c>
      <c r="J88" t="s">
        <v>519</v>
      </c>
      <c r="K88" t="s">
        <v>554</v>
      </c>
      <c r="L88" t="s">
        <v>537</v>
      </c>
    </row>
    <row r="89" spans="1:12" ht="15.75" thickBot="1" x14ac:dyDescent="0.3">
      <c r="A89" s="6" t="s">
        <v>295</v>
      </c>
      <c r="B89" s="7" t="s">
        <v>292</v>
      </c>
      <c r="C89" s="7" t="s">
        <v>218</v>
      </c>
      <c r="D89" s="7" t="s">
        <v>17</v>
      </c>
      <c r="E89" s="7" t="s">
        <v>17</v>
      </c>
      <c r="F89" s="7" t="s">
        <v>501</v>
      </c>
      <c r="G89" t="s">
        <v>500</v>
      </c>
      <c r="H89" s="7" t="s">
        <v>297</v>
      </c>
      <c r="I89" s="7" t="s">
        <v>297</v>
      </c>
      <c r="J89" t="s">
        <v>519</v>
      </c>
      <c r="K89" t="s">
        <v>554</v>
      </c>
      <c r="L89" t="s">
        <v>539</v>
      </c>
    </row>
    <row r="90" spans="1:12" ht="15.75" thickBot="1" x14ac:dyDescent="0.3">
      <c r="A90" s="6" t="s">
        <v>298</v>
      </c>
      <c r="B90" s="7" t="s">
        <v>292</v>
      </c>
      <c r="C90" s="7" t="s">
        <v>218</v>
      </c>
      <c r="D90" s="7" t="s">
        <v>17</v>
      </c>
      <c r="E90" s="7" t="s">
        <v>17</v>
      </c>
      <c r="F90" s="7" t="s">
        <v>502</v>
      </c>
      <c r="G90" t="s">
        <v>500</v>
      </c>
      <c r="H90" s="7" t="s">
        <v>300</v>
      </c>
      <c r="I90" s="7" t="s">
        <v>300</v>
      </c>
      <c r="J90" t="s">
        <v>519</v>
      </c>
      <c r="K90" t="s">
        <v>554</v>
      </c>
      <c r="L90" t="s">
        <v>539</v>
      </c>
    </row>
    <row r="91" spans="1:12" ht="15.75" thickBot="1" x14ac:dyDescent="0.3">
      <c r="A91" s="6" t="s">
        <v>301</v>
      </c>
      <c r="B91" s="7" t="s">
        <v>292</v>
      </c>
      <c r="C91" s="7" t="s">
        <v>218</v>
      </c>
      <c r="D91" s="7" t="s">
        <v>17</v>
      </c>
      <c r="E91" s="7" t="s">
        <v>17</v>
      </c>
      <c r="F91" s="7" t="s">
        <v>236</v>
      </c>
      <c r="G91" s="7" t="s">
        <v>266</v>
      </c>
      <c r="H91" s="7" t="s">
        <v>302</v>
      </c>
      <c r="I91" s="7" t="s">
        <v>302</v>
      </c>
      <c r="J91" t="s">
        <v>519</v>
      </c>
      <c r="K91" t="s">
        <v>554</v>
      </c>
      <c r="L91" t="s">
        <v>539</v>
      </c>
    </row>
    <row r="92" spans="1:12" ht="15.75" thickBot="1" x14ac:dyDescent="0.3">
      <c r="A92" s="6" t="s">
        <v>303</v>
      </c>
      <c r="B92" s="7" t="s">
        <v>292</v>
      </c>
      <c r="C92" s="7" t="s">
        <v>218</v>
      </c>
      <c r="D92" s="7" t="s">
        <v>17</v>
      </c>
      <c r="E92" s="7" t="s">
        <v>17</v>
      </c>
      <c r="F92" s="7" t="s">
        <v>236</v>
      </c>
      <c r="G92" s="7" t="s">
        <v>266</v>
      </c>
      <c r="H92" s="7" t="s">
        <v>304</v>
      </c>
      <c r="I92" s="7" t="s">
        <v>304</v>
      </c>
      <c r="J92" t="s">
        <v>519</v>
      </c>
      <c r="K92" t="s">
        <v>554</v>
      </c>
      <c r="L92" t="s">
        <v>538</v>
      </c>
    </row>
    <row r="93" spans="1:12" ht="15.75" thickBot="1" x14ac:dyDescent="0.3">
      <c r="A93" s="6" t="s">
        <v>305</v>
      </c>
      <c r="B93" s="7" t="s">
        <v>463</v>
      </c>
      <c r="C93" s="7" t="s">
        <v>218</v>
      </c>
      <c r="D93" s="7" t="s">
        <v>17</v>
      </c>
      <c r="E93" s="7" t="s">
        <v>17</v>
      </c>
      <c r="F93" s="7" t="s">
        <v>476</v>
      </c>
      <c r="G93" t="s">
        <v>473</v>
      </c>
      <c r="H93" s="7" t="s">
        <v>308</v>
      </c>
      <c r="I93" s="7" t="s">
        <v>308</v>
      </c>
      <c r="J93" t="s">
        <v>519</v>
      </c>
      <c r="K93" t="s">
        <v>554</v>
      </c>
      <c r="L93" t="s">
        <v>539</v>
      </c>
    </row>
    <row r="94" spans="1:12" ht="15.75" thickBot="1" x14ac:dyDescent="0.3">
      <c r="A94" s="6" t="s">
        <v>309</v>
      </c>
      <c r="B94" s="7" t="s">
        <v>464</v>
      </c>
      <c r="C94" s="7" t="s">
        <v>311</v>
      </c>
      <c r="D94" s="7" t="s">
        <v>17</v>
      </c>
      <c r="E94" s="7" t="s">
        <v>17</v>
      </c>
      <c r="F94" s="7" t="s">
        <v>312</v>
      </c>
      <c r="G94" s="11" t="s">
        <v>505</v>
      </c>
      <c r="H94" s="7" t="s">
        <v>313</v>
      </c>
      <c r="I94" s="7" t="s">
        <v>313</v>
      </c>
      <c r="J94" t="s">
        <v>519</v>
      </c>
      <c r="K94" t="s">
        <v>554</v>
      </c>
      <c r="L94" t="s">
        <v>535</v>
      </c>
    </row>
    <row r="95" spans="1:12" ht="15.75" thickBot="1" x14ac:dyDescent="0.3">
      <c r="A95" s="6" t="s">
        <v>314</v>
      </c>
      <c r="B95" s="7" t="s">
        <v>310</v>
      </c>
      <c r="C95" s="7" t="s">
        <v>315</v>
      </c>
      <c r="D95" s="7" t="s">
        <v>17</v>
      </c>
      <c r="E95" s="7" t="s">
        <v>17</v>
      </c>
      <c r="F95" s="7" t="s">
        <v>252</v>
      </c>
      <c r="H95" s="7" t="s">
        <v>316</v>
      </c>
      <c r="I95" s="7" t="s">
        <v>316</v>
      </c>
      <c r="J95" t="s">
        <v>519</v>
      </c>
      <c r="K95" t="s">
        <v>554</v>
      </c>
      <c r="L95" t="s">
        <v>539</v>
      </c>
    </row>
    <row r="96" spans="1:12" ht="15.75" thickBot="1" x14ac:dyDescent="0.3">
      <c r="A96" s="6" t="s">
        <v>317</v>
      </c>
      <c r="B96" s="7" t="s">
        <v>310</v>
      </c>
      <c r="C96" s="7" t="s">
        <v>318</v>
      </c>
      <c r="D96" s="7" t="s">
        <v>17</v>
      </c>
      <c r="E96" s="7" t="s">
        <v>17</v>
      </c>
      <c r="F96" s="7" t="s">
        <v>252</v>
      </c>
      <c r="H96" s="7" t="s">
        <v>319</v>
      </c>
      <c r="I96" s="7" t="s">
        <v>319</v>
      </c>
      <c r="J96" t="s">
        <v>519</v>
      </c>
      <c r="K96" t="s">
        <v>554</v>
      </c>
      <c r="L96" t="s">
        <v>539</v>
      </c>
    </row>
    <row r="97" spans="1:12" ht="15.75" thickBot="1" x14ac:dyDescent="0.3">
      <c r="A97" s="6" t="s">
        <v>320</v>
      </c>
      <c r="B97" s="7" t="s">
        <v>321</v>
      </c>
      <c r="C97" s="7" t="s">
        <v>218</v>
      </c>
      <c r="D97" s="7" t="s">
        <v>17</v>
      </c>
      <c r="E97" s="7" t="s">
        <v>17</v>
      </c>
      <c r="F97" s="7" t="s">
        <v>236</v>
      </c>
      <c r="G97" s="7" t="s">
        <v>266</v>
      </c>
      <c r="H97" s="7" t="s">
        <v>322</v>
      </c>
      <c r="I97" s="7" t="s">
        <v>322</v>
      </c>
      <c r="J97" t="s">
        <v>519</v>
      </c>
      <c r="K97" t="s">
        <v>554</v>
      </c>
      <c r="L97" t="s">
        <v>539</v>
      </c>
    </row>
    <row r="98" spans="1:12" ht="15.75" thickBot="1" x14ac:dyDescent="0.3">
      <c r="A98" s="6" t="s">
        <v>323</v>
      </c>
      <c r="B98" s="7" t="s">
        <v>324</v>
      </c>
      <c r="C98" s="7" t="s">
        <v>227</v>
      </c>
      <c r="D98" s="7" t="s">
        <v>17</v>
      </c>
      <c r="E98" s="7" t="s">
        <v>17</v>
      </c>
      <c r="F98" s="7" t="s">
        <v>266</v>
      </c>
      <c r="G98" s="7" t="s">
        <v>266</v>
      </c>
      <c r="H98" s="7" t="s">
        <v>325</v>
      </c>
      <c r="I98" s="7" t="s">
        <v>325</v>
      </c>
      <c r="J98" t="s">
        <v>519</v>
      </c>
      <c r="K98" t="s">
        <v>554</v>
      </c>
      <c r="L98" t="s">
        <v>539</v>
      </c>
    </row>
    <row r="99" spans="1:12" ht="15.75" thickBot="1" x14ac:dyDescent="0.3">
      <c r="A99" s="6" t="s">
        <v>326</v>
      </c>
      <c r="B99" s="7" t="s">
        <v>327</v>
      </c>
      <c r="C99" s="7" t="s">
        <v>218</v>
      </c>
      <c r="D99" s="7" t="s">
        <v>17</v>
      </c>
      <c r="E99" s="7" t="s">
        <v>17</v>
      </c>
      <c r="F99" s="7" t="s">
        <v>328</v>
      </c>
      <c r="G99" s="11" t="s">
        <v>504</v>
      </c>
      <c r="H99" s="7" t="s">
        <v>329</v>
      </c>
      <c r="I99" s="7" t="s">
        <v>329</v>
      </c>
      <c r="J99" t="s">
        <v>519</v>
      </c>
      <c r="K99" t="s">
        <v>534</v>
      </c>
      <c r="L99" t="s">
        <v>539</v>
      </c>
    </row>
    <row r="100" spans="1:12" ht="15.75" thickBot="1" x14ac:dyDescent="0.3">
      <c r="A100" s="6" t="s">
        <v>330</v>
      </c>
      <c r="B100" s="7" t="s">
        <v>327</v>
      </c>
      <c r="C100" s="7" t="s">
        <v>218</v>
      </c>
      <c r="D100" s="7" t="s">
        <v>17</v>
      </c>
      <c r="E100" s="7" t="s">
        <v>17</v>
      </c>
      <c r="F100" s="7" t="s">
        <v>328</v>
      </c>
      <c r="G100" s="11" t="s">
        <v>504</v>
      </c>
      <c r="H100" s="7" t="s">
        <v>331</v>
      </c>
      <c r="I100" s="7" t="s">
        <v>331</v>
      </c>
      <c r="J100" t="s">
        <v>519</v>
      </c>
      <c r="K100" t="s">
        <v>554</v>
      </c>
      <c r="L100" t="s">
        <v>539</v>
      </c>
    </row>
  </sheetData>
  <hyperlinks>
    <hyperlink ref="B2" r:id="rId1" display="https://www.peaksports.com/" xr:uid="{77F0C31B-0042-4876-AFD8-B25200D34661}"/>
    <hyperlink ref="H2" r:id="rId2" display="https://www.peaksports.com/online-sports-psychology-virtual-sessions-for-athletes/" xr:uid="{ADA904D9-9980-4B5A-B649-0BF5479BB394}"/>
    <hyperlink ref="I2" r:id="rId3" display="https://www.peaksports.com/online-sports-psychology-virtual-sessions-for-athletes/" xr:uid="{0223CB01-327E-4B0F-A91B-B86FB9AE1F61}"/>
    <hyperlink ref="B3" r:id="rId4" display="https://www.kidssportspsychology.com/" xr:uid="{CCBB1795-5737-4E3A-AA58-48867F444D2A}"/>
    <hyperlink ref="H3" r:id="rId5" display="https://www.kidssportspsychology.com/virtual-sports-psychology-for-kids/" xr:uid="{A364D3F4-D195-4030-989D-2B8E14825CDA}"/>
    <hyperlink ref="I3" r:id="rId6" display="https://www.kidssportspsychology.com/virtual-sports-psychology-for-kids/" xr:uid="{3E67F012-6555-481D-9E9B-485F9EA75101}"/>
    <hyperlink ref="B4" r:id="rId7" display="https://www.drjoann.com/" xr:uid="{BAD19A78-4003-4B3F-B779-7D38B6D82A6C}"/>
    <hyperlink ref="H4" r:id="rId8" display="https://www.drjoann.com/" xr:uid="{70ABF8BA-2364-424F-9493-81C4DDC9D65D}"/>
    <hyperlink ref="I4" r:id="rId9" display="https://www.drjoann.com/" xr:uid="{C76FA9C3-614A-4552-B2A5-C1C468BC00F7}"/>
    <hyperlink ref="B5" r:id="rId10" display="https://maximizethemind.com/" xr:uid="{51B2094D-1D93-4146-B708-59C969DD0E73}"/>
    <hyperlink ref="H5" r:id="rId11" display="https://maximizethemind.com/" xr:uid="{7BF70820-7B7F-4E78-9224-5FC0F6BC5246}"/>
    <hyperlink ref="I5" r:id="rId12" display="https://maximizethemind.com/" xr:uid="{D0869BFF-DC1B-42F3-B877-3DAB93BF2897}"/>
    <hyperlink ref="B6" r:id="rId13" xr:uid="{44BF8869-9965-4E47-9DA5-8B67637F716B}"/>
    <hyperlink ref="H6" r:id="rId14" display="https://unlimitedresiliencellc.com/join-our-team/" xr:uid="{FF6D54C0-2CEC-41A7-B70A-94A94457A838}"/>
    <hyperlink ref="I6" r:id="rId15" display="https://unlimitedresiliencellc.com/join-our-team/" xr:uid="{65CF6C22-65F9-4CA0-AE20-B89A2B997A86}"/>
    <hyperlink ref="B7" r:id="rId16" display="https://theperformancepursuitconsulting.com/" xr:uid="{85DF33BF-324F-430D-9803-3BACA6945CC7}"/>
    <hyperlink ref="H7" r:id="rId17" display="https://theperformancepursuitconsulting.com/" xr:uid="{13AF9963-A25B-42D4-A04F-D8E05D97F103}"/>
    <hyperlink ref="I7" r:id="rId18" display="https://theperformancepursuitconsulting.com/" xr:uid="{4C4CC7DA-FEE8-495B-AFC7-6470E60A9B53}"/>
    <hyperlink ref="B8" r:id="rId19" xr:uid="{F935A696-75C1-494E-9357-2D15709298D8}"/>
    <hyperlink ref="H8" r:id="rId20" display="https://www.peakmpc.com/about" xr:uid="{542C60DF-481C-4323-B4CC-47B158524CE4}"/>
    <hyperlink ref="I8" r:id="rId21" display="https://www.peakmpc.com/about" xr:uid="{AAFE5DEB-B6DB-41ED-8EC9-13E3B9C9A871}"/>
    <hyperlink ref="B9" r:id="rId22" xr:uid="{D269A6A3-96F0-4F91-AD08-598317A5E06D}"/>
    <hyperlink ref="H9" r:id="rId23" display="https://mindbodyendurance.com/sport-psychology/psychologists/" xr:uid="{C3BE9E6D-3C3D-4039-8379-6551F58DDF2C}"/>
    <hyperlink ref="I9" r:id="rId24" display="https://mindbodyendurance.com/sport-psychology/psychologists/" xr:uid="{BF0D94F9-5960-4225-B18F-E114ABAAF66C}"/>
    <hyperlink ref="B10" r:id="rId25" xr:uid="{1BA2ED58-8900-4C2E-90CD-3BF1B70ABAC5}"/>
    <hyperlink ref="H10" r:id="rId26" display="https://drjuliewiernik.com/about/" xr:uid="{33A0AFA1-1BEA-4AEB-90E5-47F2395EC8F9}"/>
    <hyperlink ref="I10" r:id="rId27" display="https://drjuliewiernik.com/about/" xr:uid="{07DA54D0-CC73-409A-95B6-B97A6ABFA2DE}"/>
    <hyperlink ref="B11" r:id="rId28" display="https://www.winnersunlimited.com/" xr:uid="{BA5FAE34-F090-4CE3-ADEF-80E9E1BF319C}"/>
    <hyperlink ref="H11" r:id="rId29" display="https://www.winnersunlimited.com/" xr:uid="{6FF00393-B145-41D4-BB2F-F6F13C8854F7}"/>
    <hyperlink ref="I11" r:id="rId30" display="https://www.winnersunlimited.com/" xr:uid="{7EE34506-2D03-40D8-8F58-91633612F3A0}"/>
    <hyperlink ref="B12" r:id="rId31" xr:uid="{65111739-7186-44D7-8B1C-CEE916ABFC2E}"/>
    <hyperlink ref="H12" r:id="rId32" display="https://zencare.co/us/texas/houston/practices/specialty/sports-psychology" xr:uid="{865465BA-B466-4186-A253-448C9D5E89C2}"/>
    <hyperlink ref="I12" r:id="rId33" display="https://zencare.co/us/texas/houston/practices/specialty/sports-psychology" xr:uid="{C9CB5EDB-D9AB-4334-8D68-27C58484BA17}"/>
    <hyperlink ref="H13" r:id="rId34" display="https://www.facebook.com/groups/158783775422784/posts/1341395867161563/" xr:uid="{A946F775-0E5A-4960-913C-1F6604F3DD2C}"/>
    <hyperlink ref="I13" r:id="rId35" display="https://www.facebook.com/groups/158783775422784/posts/1341395867161563/" xr:uid="{7F52A954-C6F2-4090-8B4D-448A76348DCF}"/>
    <hyperlink ref="B14" r:id="rId36" xr:uid="{414F94B7-4063-4BDE-A700-F75B290560B2}"/>
    <hyperlink ref="H14" r:id="rId37" display="https://www.youthsportspsychology.com/youth_sports_psychology_blog/tag/peak-sports-video/" xr:uid="{555E1BD4-2021-4DE4-A3D7-B079B28A4712}"/>
    <hyperlink ref="I14" r:id="rId38" display="https://www.youthsportspsychology.com/youth_sports_psychology_blog/tag/peak-sports-video/" xr:uid="{4F0EB8ED-93AF-45FF-8408-936C0E992C53}"/>
    <hyperlink ref="B15" r:id="rId39" xr:uid="{D56BB157-5AC5-4613-B9A8-7E6A0903300B}"/>
    <hyperlink ref="H15" r:id="rId40" display="https://www.sanarai.com/bilingual-psychologist" xr:uid="{954B0AC2-167A-4957-8579-AED38F225A6E}"/>
    <hyperlink ref="I15" r:id="rId41" display="https://www.sanarai.com/bilingual-psychologist" xr:uid="{B08A2FBE-734D-4D9D-95CF-B45A17B136FA}"/>
    <hyperlink ref="B16" r:id="rId42" xr:uid="{7063183B-9CA0-4D29-9234-A99940EFBEE9}"/>
    <hyperlink ref="B48" r:id="rId43" xr:uid="{88F6C2D2-F7B4-415A-B9EF-059FA7935B9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55EA-9B54-492D-B974-10752F4F79E3}">
  <dimension ref="A2:I116"/>
  <sheetViews>
    <sheetView topLeftCell="A100" zoomScale="106" zoomScaleNormal="106" workbookViewId="0">
      <selection activeCell="H18" sqref="H18:H116"/>
    </sheetView>
  </sheetViews>
  <sheetFormatPr defaultRowHeight="15" x14ac:dyDescent="0.25"/>
  <cols>
    <col min="1" max="1" width="37.7109375" style="12" customWidth="1"/>
    <col min="2" max="2" width="12.85546875" style="15" bestFit="1" customWidth="1"/>
    <col min="3" max="3" width="12.85546875" style="16" bestFit="1" customWidth="1"/>
    <col min="4" max="4" width="9.140625" style="12"/>
    <col min="5" max="5" width="15.42578125" style="15" bestFit="1" customWidth="1"/>
    <col min="6" max="6" width="19.42578125" style="16" bestFit="1" customWidth="1"/>
    <col min="7" max="7" width="9.140625" style="12"/>
    <col min="8" max="8" width="16.85546875" style="15" bestFit="1" customWidth="1"/>
    <col min="9" max="9" width="17.28515625" style="16" bestFit="1" customWidth="1"/>
    <col min="10" max="16384" width="9.140625" style="12"/>
  </cols>
  <sheetData>
    <row r="2" spans="2:9" x14ac:dyDescent="0.25">
      <c r="B2" s="15" t="s">
        <v>509</v>
      </c>
      <c r="C2" s="16" t="s">
        <v>509</v>
      </c>
      <c r="E2" s="13" t="s">
        <v>520</v>
      </c>
      <c r="F2" s="14" t="s">
        <v>521</v>
      </c>
      <c r="H2" s="13" t="s">
        <v>531</v>
      </c>
      <c r="I2" s="14" t="s">
        <v>531</v>
      </c>
    </row>
    <row r="3" spans="2:9" x14ac:dyDescent="0.25">
      <c r="B3" s="15" t="s">
        <v>510</v>
      </c>
      <c r="C3" s="16" t="s">
        <v>510</v>
      </c>
      <c r="E3" s="13" t="s">
        <v>522</v>
      </c>
      <c r="F3" s="14" t="s">
        <v>523</v>
      </c>
      <c r="H3" s="13" t="s">
        <v>535</v>
      </c>
      <c r="I3" s="14" t="s">
        <v>535</v>
      </c>
    </row>
    <row r="4" spans="2:9" x14ac:dyDescent="0.25">
      <c r="B4" s="15" t="s">
        <v>511</v>
      </c>
      <c r="C4" s="16" t="s">
        <v>511</v>
      </c>
      <c r="E4" s="13" t="s">
        <v>524</v>
      </c>
      <c r="F4" s="14" t="s">
        <v>524</v>
      </c>
      <c r="H4" s="13" t="s">
        <v>536</v>
      </c>
      <c r="I4" s="14" t="s">
        <v>536</v>
      </c>
    </row>
    <row r="5" spans="2:9" x14ac:dyDescent="0.25">
      <c r="B5" s="15" t="s">
        <v>512</v>
      </c>
      <c r="C5" s="16" t="s">
        <v>512</v>
      </c>
      <c r="E5" s="13" t="s">
        <v>525</v>
      </c>
      <c r="F5" s="14" t="s">
        <v>526</v>
      </c>
      <c r="H5" s="13" t="s">
        <v>537</v>
      </c>
      <c r="I5" s="14" t="s">
        <v>537</v>
      </c>
    </row>
    <row r="6" spans="2:9" x14ac:dyDescent="0.25">
      <c r="B6" s="15" t="s">
        <v>513</v>
      </c>
      <c r="C6" s="16" t="s">
        <v>513</v>
      </c>
      <c r="E6" s="13" t="s">
        <v>527</v>
      </c>
      <c r="F6" s="14" t="s">
        <v>527</v>
      </c>
      <c r="H6" s="13" t="s">
        <v>538</v>
      </c>
      <c r="I6" s="14" t="s">
        <v>538</v>
      </c>
    </row>
    <row r="7" spans="2:9" x14ac:dyDescent="0.25">
      <c r="B7" s="15" t="s">
        <v>514</v>
      </c>
      <c r="C7" s="16" t="s">
        <v>514</v>
      </c>
      <c r="E7" s="13" t="s">
        <v>528</v>
      </c>
      <c r="F7" s="14" t="s">
        <v>529</v>
      </c>
      <c r="H7" s="13" t="s">
        <v>539</v>
      </c>
      <c r="I7" s="14" t="s">
        <v>539</v>
      </c>
    </row>
    <row r="8" spans="2:9" x14ac:dyDescent="0.25">
      <c r="B8" s="15" t="s">
        <v>515</v>
      </c>
      <c r="C8" s="16" t="s">
        <v>515</v>
      </c>
      <c r="E8" s="13" t="s">
        <v>530</v>
      </c>
      <c r="F8" s="14" t="s">
        <v>531</v>
      </c>
      <c r="H8" s="13" t="s">
        <v>540</v>
      </c>
      <c r="I8" s="14" t="s">
        <v>540</v>
      </c>
    </row>
    <row r="9" spans="2:9" x14ac:dyDescent="0.25">
      <c r="B9" s="15" t="s">
        <v>516</v>
      </c>
      <c r="C9" s="16" t="s">
        <v>516</v>
      </c>
      <c r="E9" s="13" t="s">
        <v>532</v>
      </c>
      <c r="F9" s="14" t="s">
        <v>531</v>
      </c>
      <c r="H9" s="13" t="s">
        <v>541</v>
      </c>
      <c r="I9" s="14" t="s">
        <v>541</v>
      </c>
    </row>
    <row r="10" spans="2:9" x14ac:dyDescent="0.25">
      <c r="B10" s="15" t="s">
        <v>517</v>
      </c>
      <c r="C10" s="16" t="s">
        <v>517</v>
      </c>
      <c r="E10" s="13" t="s">
        <v>533</v>
      </c>
      <c r="F10" s="14" t="s">
        <v>534</v>
      </c>
      <c r="H10" s="15" t="s">
        <v>546</v>
      </c>
      <c r="I10" s="16" t="s">
        <v>537</v>
      </c>
    </row>
    <row r="11" spans="2:9" x14ac:dyDescent="0.25">
      <c r="B11" s="15" t="s">
        <v>518</v>
      </c>
      <c r="C11" s="16" t="s">
        <v>518</v>
      </c>
      <c r="E11" s="15" t="s">
        <v>550</v>
      </c>
      <c r="F11" s="14" t="s">
        <v>534</v>
      </c>
      <c r="H11" s="15" t="s">
        <v>547</v>
      </c>
      <c r="I11" s="16" t="s">
        <v>535</v>
      </c>
    </row>
    <row r="12" spans="2:9" x14ac:dyDescent="0.25">
      <c r="B12" s="15" t="s">
        <v>542</v>
      </c>
      <c r="C12" s="16" t="s">
        <v>516</v>
      </c>
      <c r="H12" s="15" t="s">
        <v>548</v>
      </c>
      <c r="I12" s="16" t="s">
        <v>535</v>
      </c>
    </row>
    <row r="13" spans="2:9" x14ac:dyDescent="0.25">
      <c r="B13" s="15" t="s">
        <v>519</v>
      </c>
      <c r="C13" s="16" t="s">
        <v>519</v>
      </c>
      <c r="H13" s="15" t="s">
        <v>549</v>
      </c>
      <c r="I13" s="16" t="s">
        <v>537</v>
      </c>
    </row>
    <row r="14" spans="2:9" x14ac:dyDescent="0.25">
      <c r="B14" s="15" t="s">
        <v>543</v>
      </c>
      <c r="C14" s="16" t="s">
        <v>516</v>
      </c>
    </row>
    <row r="15" spans="2:9" x14ac:dyDescent="0.25">
      <c r="B15" s="15" t="s">
        <v>544</v>
      </c>
      <c r="C15" s="16" t="s">
        <v>544</v>
      </c>
    </row>
    <row r="17" spans="1:8" ht="15.75" thickBot="1" x14ac:dyDescent="0.3"/>
    <row r="18" spans="1:8" ht="36.75" thickBot="1" x14ac:dyDescent="0.3">
      <c r="A18" s="2" t="s">
        <v>545</v>
      </c>
      <c r="B18" s="15" t="str" cm="1">
        <f t="array" ref="B18">_xlfn.LET(
 _xlpm.raw, LOWER(A18),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18" s="15" t="str" cm="1">
        <f t="array" ref="E18">_xlfn.LET(
 _xlpm.raw, LOWER(A18),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perfectionism</v>
      </c>
      <c r="H18" s="15" t="str" cm="1">
        <f t="array" ref="H18">_xlfn.LET(
 _xlpm.raw, LOWER(A18),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confidence, focus</v>
      </c>
    </row>
    <row r="19" spans="1:8" ht="36.75" thickBot="1" x14ac:dyDescent="0.3">
      <c r="A19" s="2" t="s">
        <v>202</v>
      </c>
      <c r="B19" s="15" t="str" cm="1">
        <f t="array" ref="B19">_xlfn.LET(
 _xlpm.raw, LOWER(A19),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19" s="15" t="str" cm="1">
        <f t="array" ref="E19">_xlfn.LET(
 _xlpm.raw, LOWER(A19),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19" s="15" t="str" cm="1">
        <f t="array" ref="H19">_xlfn.LET(
 _xlpm.raw, LOWER(A19),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mental toughness, confidence, focus</v>
      </c>
    </row>
    <row r="20" spans="1:8" ht="36.75" thickBot="1" x14ac:dyDescent="0.3">
      <c r="A20" s="2" t="s">
        <v>174</v>
      </c>
      <c r="B20" s="15" t="str" cm="1">
        <f t="array" ref="B20">_xlfn.LET(
 _xlpm.raw, LOWER(A20),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20" s="15" t="str" cm="1">
        <f t="array" ref="E20">_xlfn.LET(
 _xlpm.raw, LOWER(A20),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20" s="15" t="str" cm="1">
        <f t="array" ref="H20">_xlfn.LET(
 _xlpm.raw, LOWER(A20),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confidence, focus</v>
      </c>
    </row>
    <row r="21" spans="1:8" ht="36.75" thickBot="1" x14ac:dyDescent="0.3">
      <c r="A21" s="2" t="s">
        <v>175</v>
      </c>
      <c r="B21" s="15" t="str" cm="1">
        <f t="array" ref="B21">_xlfn.LET(
 _xlpm.raw, LOWER(A21),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21" s="15" t="str" cm="1">
        <f t="array" ref="E21">_xlfn.LET(
 _xlpm.raw, LOWER(A21),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21" s="15" t="str" cm="1">
        <f t="array" ref="H21">_xlfn.LET(
 _xlpm.raw, LOWER(A21),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focus, confidence, focus</v>
      </c>
    </row>
    <row r="22" spans="1:8" ht="36.75" thickBot="1" x14ac:dyDescent="0.3">
      <c r="A22" s="2" t="s">
        <v>176</v>
      </c>
      <c r="B22" s="15" t="str" cm="1">
        <f t="array" ref="B22">_xlfn.LET(
 _xlpm.raw, LOWER(A22),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22" s="15" t="str" cm="1">
        <f t="array" ref="E22">_xlfn.LET(
 _xlpm.raw, LOWER(A22),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22" s="15" t="str" cm="1">
        <f t="array" ref="H22">_xlfn.LET(
 _xlpm.raw, LOWER(A22),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resilience, confidence, focus</v>
      </c>
    </row>
    <row r="23" spans="1:8" ht="36.75" thickBot="1" x14ac:dyDescent="0.3">
      <c r="A23" s="2" t="s">
        <v>177</v>
      </c>
      <c r="B23" s="15" t="str" cm="1">
        <f t="array" ref="B23">_xlfn.LET(
 _xlpm.raw, LOWER(A23),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23" s="15" t="str" cm="1">
        <f t="array" ref="E23">_xlfn.LET(
 _xlpm.raw, LOWER(A23),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23" s="15" t="str" cm="1">
        <f t="array" ref="H23">_xlfn.LET(
 _xlpm.raw, LOWER(A23),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confidence, focus</v>
      </c>
    </row>
    <row r="24" spans="1:8" ht="36.75" thickBot="1" x14ac:dyDescent="0.3">
      <c r="A24" s="2" t="s">
        <v>178</v>
      </c>
      <c r="B24" s="15" t="str" cm="1">
        <f t="array" ref="B24">_xlfn.LET(
 _xlpm.raw, LOWER(A24),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24" s="15" t="str" cm="1">
        <f t="array" ref="E24">_xlfn.LET(
 _xlpm.raw, LOWER(A24),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24" s="15" t="str" cm="1">
        <f t="array" ref="H24">_xlfn.LET(
 _xlpm.raw, LOWER(A24),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focus, confidence, focus</v>
      </c>
    </row>
    <row r="25" spans="1:8" ht="36.75" thickBot="1" x14ac:dyDescent="0.3">
      <c r="A25" s="2" t="s">
        <v>179</v>
      </c>
      <c r="B25" s="15" t="str" cm="1">
        <f t="array" ref="B25">_xlfn.LET(
 _xlpm.raw, LOWER(A25),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25" s="15" t="str" cm="1">
        <f t="array" ref="E25">_xlfn.LET(
 _xlpm.raw, LOWER(A25),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25" s="15" t="str" cm="1">
        <f t="array" ref="H25">_xlfn.LET(
 _xlpm.raw, LOWER(A25),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confidence, focus</v>
      </c>
    </row>
    <row r="26" spans="1:8" ht="36.75" thickBot="1" x14ac:dyDescent="0.3">
      <c r="A26" s="2" t="s">
        <v>180</v>
      </c>
      <c r="B26" s="15" t="str" cm="1">
        <f t="array" ref="B26">_xlfn.LET(
 _xlpm.raw, LOWER(A26),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26" s="15" t="str" cm="1">
        <f t="array" ref="E26">_xlfn.LET(
 _xlpm.raw, LOWER(A26),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26" s="15" t="str" cm="1">
        <f t="array" ref="H26">_xlfn.LET(
 _xlpm.raw, LOWER(A26),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confidence, focus</v>
      </c>
    </row>
    <row r="27" spans="1:8" ht="36.75" thickBot="1" x14ac:dyDescent="0.3">
      <c r="A27" s="2" t="s">
        <v>181</v>
      </c>
      <c r="B27" s="15" t="str" cm="1">
        <f t="array" ref="B27">_xlfn.LET(
 _xlpm.raw, LOWER(A27),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27" s="15" t="str" cm="1">
        <f t="array" ref="E27">_xlfn.LET(
 _xlpm.raw, LOWER(A27),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27" s="15" t="str" cm="1">
        <f t="array" ref="H27">_xlfn.LET(
 _xlpm.raw, LOWER(A27),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confidence, focus, confidence, focus</v>
      </c>
    </row>
    <row r="28" spans="1:8" ht="36.75" thickBot="1" x14ac:dyDescent="0.3">
      <c r="A28" s="2" t="s">
        <v>182</v>
      </c>
      <c r="B28" s="15" t="str" cm="1">
        <f t="array" ref="B28">_xlfn.LET(
 _xlpm.raw, LOWER(A28),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28" s="15" t="str" cm="1">
        <f t="array" ref="E28">_xlfn.LET(
 _xlpm.raw, LOWER(A28),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28" s="15" t="str" cm="1">
        <f t="array" ref="H28">_xlfn.LET(
 _xlpm.raw, LOWER(A28),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confidence, focus</v>
      </c>
    </row>
    <row r="29" spans="1:8" ht="36.75" thickBot="1" x14ac:dyDescent="0.3">
      <c r="A29" s="2" t="s">
        <v>183</v>
      </c>
      <c r="B29" s="15" t="str" cm="1">
        <f t="array" ref="B29">_xlfn.LET(
 _xlpm.raw, LOWER(A29),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29" s="15" t="str" cm="1">
        <f t="array" ref="E29">_xlfn.LET(
 _xlpm.raw, LOWER(A29),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29" s="15" t="str" cm="1">
        <f t="array" ref="H29">_xlfn.LET(
 _xlpm.raw, LOWER(A29),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confidence, focus</v>
      </c>
    </row>
    <row r="30" spans="1:8" ht="36.75" thickBot="1" x14ac:dyDescent="0.3">
      <c r="A30" s="2" t="s">
        <v>184</v>
      </c>
      <c r="B30" s="15" t="str" cm="1">
        <f t="array" ref="B30">_xlfn.LET(
 _xlpm.raw, LOWER(A30),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30" s="15" t="str" cm="1">
        <f t="array" ref="E30">_xlfn.LET(
 _xlpm.raw, LOWER(A30),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30" s="15" t="str" cm="1">
        <f t="array" ref="H30">_xlfn.LET(
 _xlpm.raw, LOWER(A30),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confidence, confidence, focus</v>
      </c>
    </row>
    <row r="31" spans="1:8" ht="48.75" thickBot="1" x14ac:dyDescent="0.3">
      <c r="A31" s="2" t="s">
        <v>185</v>
      </c>
      <c r="B31" s="15" t="str" cm="1">
        <f t="array" ref="B31">_xlfn.LET(
 _xlpm.raw, LOWER(A31),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31" s="15" t="str" cm="1">
        <f t="array" ref="E31">_xlfn.LET(
 _xlpm.raw, LOWER(A31),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31" s="15" t="str" cm="1">
        <f t="array" ref="H31">_xlfn.LET(
 _xlpm.raw, LOWER(A31),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confidence, focus</v>
      </c>
    </row>
    <row r="32" spans="1:8" ht="36.75" thickBot="1" x14ac:dyDescent="0.3">
      <c r="A32" s="2" t="s">
        <v>193</v>
      </c>
      <c r="B32" s="15" t="str" cm="1">
        <f t="array" ref="B32">_xlfn.LET(
 _xlpm.raw, LOWER(A32),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32" s="15" t="str" cm="1">
        <f t="array" ref="E32">_xlfn.LET(
 _xlpm.raw, LOWER(A32),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32" s="15" t="str" cm="1">
        <f t="array" ref="H32">_xlfn.LET(
 _xlpm.raw, LOWER(A32),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focus, confidence, focus</v>
      </c>
    </row>
    <row r="33" spans="1:8" ht="48.75" thickBot="1" x14ac:dyDescent="0.3">
      <c r="A33" s="2" t="s">
        <v>194</v>
      </c>
      <c r="B33" s="15" t="str" cm="1">
        <f t="array" ref="B33">_xlfn.LET(
 _xlpm.raw, LOWER(A33),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33" s="15" t="str" cm="1">
        <f t="array" ref="E33">_xlfn.LET(
 _xlpm.raw, LOWER(A33),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confidence</v>
      </c>
      <c r="H33" s="15" t="str" cm="1">
        <f t="array" ref="H33">_xlfn.LET(
 _xlpm.raw, LOWER(A33),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confidence, focus</v>
      </c>
    </row>
    <row r="34" spans="1:8" ht="48.75" thickBot="1" x14ac:dyDescent="0.3">
      <c r="A34" s="2" t="s">
        <v>195</v>
      </c>
      <c r="B34" s="15" t="str" cm="1">
        <f t="array" ref="B34">_xlfn.LET(
 _xlpm.raw, LOWER(A34),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34" s="15" t="str" cm="1">
        <f t="array" ref="E34">_xlfn.LET(
 _xlpm.raw, LOWER(A34),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perfectionism</v>
      </c>
      <c r="H34" s="15" t="str" cm="1">
        <f t="array" ref="H34">_xlfn.LET(
 _xlpm.raw, LOWER(A34),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confidence, focus</v>
      </c>
    </row>
    <row r="35" spans="1:8" ht="48.75" thickBot="1" x14ac:dyDescent="0.3">
      <c r="A35" s="2" t="s">
        <v>189</v>
      </c>
      <c r="B35" s="15" t="str" cm="1">
        <f t="array" ref="B35">_xlfn.LET(
 _xlpm.raw, LOWER(A35),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35" s="15" t="str" cm="1">
        <f t="array" ref="E35">_xlfn.LET(
 _xlpm.raw, LOWER(A35),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35" s="15" t="str" cm="1">
        <f t="array" ref="H35">_xlfn.LET(
 _xlpm.raw, LOWER(A35),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resilience, mental toughness, confidence, focus</v>
      </c>
    </row>
    <row r="36" spans="1:8" ht="48.75" thickBot="1" x14ac:dyDescent="0.3">
      <c r="A36" s="2" t="s">
        <v>190</v>
      </c>
      <c r="B36" s="15" t="str" cm="1">
        <f t="array" ref="B36">_xlfn.LET(
 _xlpm.raw, LOWER(A36),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36" s="15" t="str" cm="1">
        <f t="array" ref="E36">_xlfn.LET(
 _xlpm.raw, LOWER(A36),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36" s="15" t="str" cm="1">
        <f t="array" ref="H36">_xlfn.LET(
 _xlpm.raw, LOWER(A36),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motivation, consistency, confidence, focus</v>
      </c>
    </row>
    <row r="37" spans="1:8" ht="48.75" thickBot="1" x14ac:dyDescent="0.3">
      <c r="A37" s="2" t="s">
        <v>191</v>
      </c>
      <c r="B37" s="15" t="str" cm="1">
        <f t="array" ref="B37">_xlfn.LET(
 _xlpm.raw, LOWER(A37),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37" s="15" t="str" cm="1">
        <f t="array" ref="E37">_xlfn.LET(
 _xlpm.raw, LOWER(A37),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burnout</v>
      </c>
      <c r="H37" s="15" t="str" cm="1">
        <f t="array" ref="H37">_xlfn.LET(
 _xlpm.raw, LOWER(A37),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motivation, confidence, focus</v>
      </c>
    </row>
    <row r="38" spans="1:8" ht="36.75" thickBot="1" x14ac:dyDescent="0.3">
      <c r="A38" s="2" t="s">
        <v>196</v>
      </c>
      <c r="B38" s="15" t="str" cm="1">
        <f t="array" ref="B38">_xlfn.LET(
 _xlpm.raw, LOWER(A38),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38" s="15" t="str" cm="1">
        <f t="array" ref="E38">_xlfn.LET(
 _xlpm.raw, LOWER(A38),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injury-recovery, perfectionism, confidence</v>
      </c>
      <c r="H38" s="15" t="str" cm="1">
        <f t="array" ref="H38">_xlfn.LET(
 _xlpm.raw, LOWER(A38),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confidence, focus</v>
      </c>
    </row>
    <row r="39" spans="1:8" ht="48.75" thickBot="1" x14ac:dyDescent="0.3">
      <c r="A39" s="2" t="s">
        <v>197</v>
      </c>
      <c r="B39" s="15" t="str" cm="1">
        <f t="array" ref="B39">_xlfn.LET(
 _xlpm.raw, LOWER(A39),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39" s="15" t="str" cm="1">
        <f t="array" ref="E39">_xlfn.LET(
 _xlpm.raw, LOWER(A39),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39" s="15" t="str" cm="1">
        <f t="array" ref="H39">_xlfn.LET(
 _xlpm.raw, LOWER(A39),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motivation, mental toughness, confidence, focus</v>
      </c>
    </row>
    <row r="40" spans="1:8" ht="48.75" thickBot="1" x14ac:dyDescent="0.3">
      <c r="A40" s="2" t="s">
        <v>192</v>
      </c>
      <c r="B40" s="15" t="str" cm="1">
        <f t="array" ref="B40">_xlfn.LET(
 _xlpm.raw, LOWER(A40),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40" s="15" t="str" cm="1">
        <f t="array" ref="E40">_xlfn.LET(
 _xlpm.raw, LOWER(A40),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40" s="15" t="str" cm="1">
        <f t="array" ref="H40">_xlfn.LET(
 _xlpm.raw, LOWER(A40),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focus, confidence, focus</v>
      </c>
    </row>
    <row r="41" spans="1:8" ht="48.75" thickBot="1" x14ac:dyDescent="0.3">
      <c r="A41" s="2" t="s">
        <v>186</v>
      </c>
      <c r="B41" s="15" t="str" cm="1">
        <f t="array" ref="B41">_xlfn.LET(
 _xlpm.raw, LOWER(A41),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41" s="15" t="str" cm="1">
        <f t="array" ref="E41">_xlfn.LET(
 _xlpm.raw, LOWER(A41),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41" s="15" t="str" cm="1">
        <f t="array" ref="H41">_xlfn.LET(
 _xlpm.raw, LOWER(A41),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confidence, focus</v>
      </c>
    </row>
    <row r="42" spans="1:8" ht="48.75" thickBot="1" x14ac:dyDescent="0.3">
      <c r="A42" s="2" t="s">
        <v>198</v>
      </c>
      <c r="B42" s="15" t="str" cm="1">
        <f t="array" ref="B42">_xlfn.LET(
 _xlpm.raw, LOWER(A42),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42" s="15" t="str" cm="1">
        <f t="array" ref="E42">_xlfn.LET(
 _xlpm.raw, LOWER(A42),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42" s="15" t="str" cm="1">
        <f t="array" ref="H42">_xlfn.LET(
 _xlpm.raw, LOWER(A42),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confidence, focus</v>
      </c>
    </row>
    <row r="43" spans="1:8" ht="48.75" thickBot="1" x14ac:dyDescent="0.3">
      <c r="A43" s="2" t="s">
        <v>199</v>
      </c>
      <c r="B43" s="15" t="str" cm="1">
        <f t="array" ref="B43">_xlfn.LET(
 _xlpm.raw, LOWER(A43),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43" s="15" t="str" cm="1">
        <f t="array" ref="E43">_xlfn.LET(
 _xlpm.raw, LOWER(A43),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perfectionism</v>
      </c>
      <c r="H43" s="15" t="str" cm="1">
        <f t="array" ref="H43">_xlfn.LET(
 _xlpm.raw, LOWER(A43),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confidence, focus</v>
      </c>
    </row>
    <row r="44" spans="1:8" ht="48.75" thickBot="1" x14ac:dyDescent="0.3">
      <c r="A44" s="2" t="s">
        <v>187</v>
      </c>
      <c r="B44" s="15" t="str" cm="1">
        <f t="array" ref="B44">_xlfn.LET(
 _xlpm.raw, LOWER(A44),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44" s="15" t="str" cm="1">
        <f t="array" ref="E44">_xlfn.LET(
 _xlpm.raw, LOWER(A44),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44" s="15" t="str" cm="1">
        <f t="array" ref="H44">_xlfn.LET(
 _xlpm.raw, LOWER(A44),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focus, leadership, resilience, motivation, confidence, focus</v>
      </c>
    </row>
    <row r="45" spans="1:8" ht="48.75" thickBot="1" x14ac:dyDescent="0.3">
      <c r="A45" s="2" t="s">
        <v>200</v>
      </c>
      <c r="B45" s="15" t="str" cm="1">
        <f t="array" ref="B45">_xlfn.LET(
 _xlpm.raw, LOWER(A45),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45" s="15" t="str" cm="1">
        <f t="array" ref="E45">_xlfn.LET(
 _xlpm.raw, LOWER(A45),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perfectionism</v>
      </c>
      <c r="H45" s="15" t="str" cm="1">
        <f t="array" ref="H45">_xlfn.LET(
 _xlpm.raw, LOWER(A45),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confidence, focus</v>
      </c>
    </row>
    <row r="46" spans="1:8" ht="48.75" thickBot="1" x14ac:dyDescent="0.3">
      <c r="A46" s="2" t="s">
        <v>201</v>
      </c>
      <c r="B46" s="15" t="str" cm="1">
        <f t="array" ref="B46">_xlfn.LET(
 _xlpm.raw, LOWER(A46),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46" s="15" t="str" cm="1">
        <f t="array" ref="E46">_xlfn.LET(
 _xlpm.raw, LOWER(A46),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46" s="15" t="str" cm="1">
        <f t="array" ref="H46">_xlfn.LET(
 _xlpm.raw, LOWER(A46),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confidence, focus</v>
      </c>
    </row>
    <row r="47" spans="1:8" ht="48.75" thickBot="1" x14ac:dyDescent="0.3">
      <c r="A47" s="2" t="s">
        <v>188</v>
      </c>
      <c r="B47" s="15" t="str" cm="1">
        <f t="array" ref="B47">_xlfn.LET(
 _xlpm.raw, LOWER(A47),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golf, baseball, soccer, hockey, softball</v>
      </c>
      <c r="E47" s="15" t="str" cm="1">
        <f t="array" ref="E47">_xlfn.LET(
 _xlpm.raw, LOWER(A47),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perfectionism, recruiting</v>
      </c>
      <c r="H47" s="15" t="str" cm="1">
        <f t="array" ref="H47">_xlfn.LET(
 _xlpm.raw, LOWER(A47),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resilience, confidence, focus</v>
      </c>
    </row>
    <row r="48" spans="1:8" ht="15.75" thickBot="1" x14ac:dyDescent="0.3">
      <c r="A48" s="7" t="s">
        <v>335</v>
      </c>
      <c r="B48" s="15" t="str" cm="1">
        <f t="array" ref="B48">_xlfn.LET(
 _xlpm.raw, LOWER(A48),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48" s="15" t="str" cm="1">
        <f t="array" ref="E48">_xlfn.LET(
 _xlpm.raw, LOWER(A48),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48" s="15" t="str" cm="1">
        <f t="array" ref="H48">_xlfn.LET(
 _xlpm.raw, LOWER(A48),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49" spans="1:8" ht="15.75" thickBot="1" x14ac:dyDescent="0.3">
      <c r="A49" s="7" t="s">
        <v>339</v>
      </c>
      <c r="B49" s="15" t="str" cm="1">
        <f t="array" ref="B49">_xlfn.LET(
 _xlpm.raw, LOWER(A49),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49" s="15" t="str" cm="1">
        <f t="array" ref="E49">_xlfn.LET(
 _xlpm.raw, LOWER(A49),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recruiting, perfectionism</v>
      </c>
      <c r="H49" s="15" t="str" cm="1">
        <f t="array" ref="H49">_xlfn.LET(
 _xlpm.raw, LOWER(A49),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50" spans="1:8" ht="15.75" thickBot="1" x14ac:dyDescent="0.3">
      <c r="A50" s="7" t="s">
        <v>344</v>
      </c>
      <c r="B50" s="15" t="str" cm="1">
        <f t="array" ref="B50">_xlfn.LET(
 _xlpm.raw, LOWER(A50),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50" s="15" t="str" cm="1">
        <f t="array" ref="E50">_xlfn.LET(
 _xlpm.raw, LOWER(A50),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50" s="15" t="str" cm="1">
        <f t="array" ref="H50">_xlfn.LET(
 _xlpm.raw, LOWER(A50),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51" spans="1:8" ht="15.75" thickBot="1" x14ac:dyDescent="0.3">
      <c r="A51" s="7" t="s">
        <v>348</v>
      </c>
      <c r="B51" s="15" t="str" cm="1">
        <f t="array" ref="B51">_xlfn.LET(
 _xlpm.raw, LOWER(A51),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51" s="15" t="str" cm="1">
        <f t="array" ref="E51">_xlfn.LET(
 _xlpm.raw, LOWER(A51),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51" s="15" t="str" cm="1">
        <f t="array" ref="H51">_xlfn.LET(
 _xlpm.raw, LOWER(A51),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52" spans="1:8" ht="15.75" thickBot="1" x14ac:dyDescent="0.3">
      <c r="A52" s="7" t="s">
        <v>352</v>
      </c>
      <c r="B52" s="15" t="str" cm="1">
        <f t="array" ref="B52">_xlfn.LET(
 _xlpm.raw, LOWER(A52),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52" s="15" t="str" cm="1">
        <f t="array" ref="E52">_xlfn.LET(
 _xlpm.raw, LOWER(A52),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injury-recovery</v>
      </c>
      <c r="H52" s="15" t="str" cm="1">
        <f t="array" ref="H52">_xlfn.LET(
 _xlpm.raw, LOWER(A52),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53" spans="1:8" ht="15.75" thickBot="1" x14ac:dyDescent="0.3">
      <c r="A53" s="7" t="s">
        <v>356</v>
      </c>
      <c r="B53" s="15" t="str" cm="1">
        <f t="array" ref="B53">_xlfn.LET(
 _xlpm.raw, LOWER(A53),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53" s="15" t="str" cm="1">
        <f t="array" ref="E53">_xlfn.LET(
 _xlpm.raw, LOWER(A53),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53" s="15" t="str" cm="1">
        <f t="array" ref="H53">_xlfn.LET(
 _xlpm.raw, LOWER(A53),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focus</v>
      </c>
    </row>
    <row r="54" spans="1:8" ht="15.75" thickBot="1" x14ac:dyDescent="0.3">
      <c r="A54" s="7" t="s">
        <v>359</v>
      </c>
      <c r="B54" s="15" t="str" cm="1">
        <f t="array" ref="B54">_xlfn.LET(
 _xlpm.raw, LOWER(A54),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54" s="15" t="str" cm="1">
        <f t="array" ref="E54">_xlfn.LET(
 _xlpm.raw, LOWER(A54),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54" s="15" t="str" cm="1">
        <f t="array" ref="H54">_xlfn.LET(
 _xlpm.raw, LOWER(A54),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55" spans="1:8" ht="15.75" thickBot="1" x14ac:dyDescent="0.3">
      <c r="A55" s="7" t="s">
        <v>363</v>
      </c>
      <c r="B55" s="15" t="str" cm="1">
        <f t="array" ref="B55">_xlfn.LET(
 _xlpm.raw, LOWER(A55),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55" s="15" t="str" cm="1">
        <f t="array" ref="E55">_xlfn.LET(
 _xlpm.raw, LOWER(A55),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55" s="15" t="str" cm="1">
        <f t="array" ref="H55">_xlfn.LET(
 _xlpm.raw, LOWER(A55),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56" spans="1:8" ht="15.75" thickBot="1" x14ac:dyDescent="0.3">
      <c r="A56" s="7" t="s">
        <v>366</v>
      </c>
      <c r="B56" s="15" t="str" cm="1">
        <f t="array" ref="B56">_xlfn.LET(
 _xlpm.raw, LOWER(A56),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56" s="15" t="str" cm="1">
        <f t="array" ref="E56">_xlfn.LET(
 _xlpm.raw, LOWER(A56),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56" s="15" t="str" cm="1">
        <f t="array" ref="H56">_xlfn.LET(
 _xlpm.raw, LOWER(A56),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57" spans="1:8" ht="15.75" thickBot="1" x14ac:dyDescent="0.3">
      <c r="A57" s="7" t="s">
        <v>370</v>
      </c>
      <c r="B57" s="15" t="str" cm="1">
        <f t="array" ref="B57">_xlfn.LET(
 _xlpm.raw, LOWER(A57),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57" s="15" t="str" cm="1">
        <f t="array" ref="E57">_xlfn.LET(
 _xlpm.raw, LOWER(A57),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57" s="15" t="str" cm="1">
        <f t="array" ref="H57">_xlfn.LET(
 _xlpm.raw, LOWER(A57),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58" spans="1:8" ht="15.75" thickBot="1" x14ac:dyDescent="0.3">
      <c r="A58" s="7" t="s">
        <v>373</v>
      </c>
      <c r="B58" s="15" t="str" cm="1">
        <f t="array" ref="B58">_xlfn.LET(
 _xlpm.raw, LOWER(A58),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58" s="15" t="str" cm="1">
        <f t="array" ref="E58">_xlfn.LET(
 _xlpm.raw, LOWER(A58),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58" s="15" t="str" cm="1">
        <f t="array" ref="H58">_xlfn.LET(
 _xlpm.raw, LOWER(A58),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59" spans="1:8" ht="15.75" thickBot="1" x14ac:dyDescent="0.3">
      <c r="A59" s="7" t="s">
        <v>375</v>
      </c>
      <c r="B59" s="15" t="str" cm="1">
        <f t="array" ref="B59">_xlfn.LET(
 _xlpm.raw, LOWER(A59),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59" s="15" t="str" cm="1">
        <f t="array" ref="E59">_xlfn.LET(
 _xlpm.raw, LOWER(A59),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confidence</v>
      </c>
      <c r="H59" s="15" t="str" cm="1">
        <f t="array" ref="H59">_xlfn.LET(
 _xlpm.raw, LOWER(A59),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60" spans="1:8" ht="15.75" thickBot="1" x14ac:dyDescent="0.3">
      <c r="A60" s="7" t="s">
        <v>379</v>
      </c>
      <c r="B60" s="15" t="str" cm="1">
        <f t="array" ref="B60">_xlfn.LET(
 _xlpm.raw, LOWER(A60),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60" s="15" t="str" cm="1">
        <f t="array" ref="E60">_xlfn.LET(
 _xlpm.raw, LOWER(A60),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60" s="15" t="str" cm="1">
        <f t="array" ref="H60">_xlfn.LET(
 _xlpm.raw, LOWER(A60),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61" spans="1:8" ht="15.75" thickBot="1" x14ac:dyDescent="0.3">
      <c r="A61" s="7" t="s">
        <v>382</v>
      </c>
      <c r="B61" s="15" t="str" cm="1">
        <f t="array" ref="B61">_xlfn.LET(
 _xlpm.raw, LOWER(A61),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61" s="15" t="str" cm="1">
        <f t="array" ref="E61">_xlfn.LET(
 _xlpm.raw, LOWER(A61),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61" s="15" t="str" cm="1">
        <f t="array" ref="H61">_xlfn.LET(
 _xlpm.raw, LOWER(A61),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62" spans="1:8" ht="15.75" thickBot="1" x14ac:dyDescent="0.3">
      <c r="A62" s="7" t="s">
        <v>384</v>
      </c>
      <c r="B62" s="15" t="str" cm="1">
        <f t="array" ref="B62">_xlfn.LET(
 _xlpm.raw, LOWER(A62),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62" s="15" t="str" cm="1">
        <f t="array" ref="E62">_xlfn.LET(
 _xlpm.raw, LOWER(A62),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62" s="15" t="str" cm="1">
        <f t="array" ref="H62">_xlfn.LET(
 _xlpm.raw, LOWER(A62),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63" spans="1:8" ht="15.75" thickBot="1" x14ac:dyDescent="0.3">
      <c r="A63" s="7" t="s">
        <v>386</v>
      </c>
      <c r="B63" s="15" t="str" cm="1">
        <f t="array" ref="B63">_xlfn.LET(
 _xlpm.raw, LOWER(A63),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63" s="15" t="str" cm="1">
        <f t="array" ref="E63">_xlfn.LET(
 _xlpm.raw, LOWER(A63),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63" s="15" t="str" cm="1">
        <f t="array" ref="H63">_xlfn.LET(
 _xlpm.raw, LOWER(A63),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64" spans="1:8" ht="15.75" thickBot="1" x14ac:dyDescent="0.3">
      <c r="A64" s="7" t="s">
        <v>388</v>
      </c>
      <c r="B64" s="15" t="str" cm="1">
        <f t="array" ref="B64">_xlfn.LET(
 _xlpm.raw, LOWER(A64),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64" s="15" t="str" cm="1">
        <f t="array" ref="E64">_xlfn.LET(
 _xlpm.raw, LOWER(A64),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64" s="15" t="str" cm="1">
        <f t="array" ref="H64">_xlfn.LET(
 _xlpm.raw, LOWER(A64),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resilience</v>
      </c>
    </row>
    <row r="65" spans="1:8" ht="15.75" thickBot="1" x14ac:dyDescent="0.3">
      <c r="A65" s="7" t="s">
        <v>392</v>
      </c>
      <c r="B65" s="15" t="str" cm="1">
        <f t="array" ref="B65">_xlfn.LET(
 _xlpm.raw, LOWER(A65),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65" s="15" t="str" cm="1">
        <f t="array" ref="E65">_xlfn.LET(
 _xlpm.raw, LOWER(A65),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65" s="15" t="str" cm="1">
        <f t="array" ref="H65">_xlfn.LET(
 _xlpm.raw, LOWER(A65),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confidence, focus</v>
      </c>
    </row>
    <row r="66" spans="1:8" ht="15.75" thickBot="1" x14ac:dyDescent="0.3">
      <c r="A66" s="7" t="s">
        <v>395</v>
      </c>
      <c r="B66" s="15" t="str" cm="1">
        <f t="array" ref="B66">_xlfn.LET(
 _xlpm.raw, LOWER(A66),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66" s="15" t="str" cm="1">
        <f t="array" ref="E66">_xlfn.LET(
 _xlpm.raw, LOWER(A66),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66" s="15" t="str" cm="1">
        <f t="array" ref="H66">_xlfn.LET(
 _xlpm.raw, LOWER(A66),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67" spans="1:8" ht="15.75" thickBot="1" x14ac:dyDescent="0.3">
      <c r="A67" s="7" t="s">
        <v>398</v>
      </c>
      <c r="B67" s="15" t="str" cm="1">
        <f t="array" ref="B67">_xlfn.LET(
 _xlpm.raw, LOWER(A67),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67" s="15" t="str" cm="1">
        <f t="array" ref="E67">_xlfn.LET(
 _xlpm.raw, LOWER(A67),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67" s="15" t="str" cm="1">
        <f t="array" ref="H67">_xlfn.LET(
 _xlpm.raw, LOWER(A67),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68" spans="1:8" ht="15.75" thickBot="1" x14ac:dyDescent="0.3">
      <c r="A68" s="7" t="s">
        <v>401</v>
      </c>
      <c r="B68" s="15" t="str" cm="1">
        <f t="array" ref="B68">_xlfn.LET(
 _xlpm.raw, LOWER(A68),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68" s="15" t="str" cm="1">
        <f t="array" ref="E68">_xlfn.LET(
 _xlpm.raw, LOWER(A68),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68" s="15" t="str" cm="1">
        <f t="array" ref="H68">_xlfn.LET(
 _xlpm.raw, LOWER(A68),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69" spans="1:8" ht="15.75" thickBot="1" x14ac:dyDescent="0.3">
      <c r="A69" s="7" t="s">
        <v>403</v>
      </c>
      <c r="B69" s="15" t="str" cm="1">
        <f t="array" ref="B69">_xlfn.LET(
 _xlpm.raw, LOWER(A69),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69" s="15" t="str" cm="1">
        <f t="array" ref="E69">_xlfn.LET(
 _xlpm.raw, LOWER(A69),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69" s="15" t="str" cm="1">
        <f t="array" ref="H69">_xlfn.LET(
 _xlpm.raw, LOWER(A69),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70" spans="1:8" ht="15.75" thickBot="1" x14ac:dyDescent="0.3">
      <c r="A70" s="7" t="s">
        <v>405</v>
      </c>
      <c r="B70" s="15" t="str" cm="1">
        <f t="array" ref="B70">_xlfn.LET(
 _xlpm.raw, LOWER(A70),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70" s="15" t="str" cm="1">
        <f t="array" ref="E70">_xlfn.LET(
 _xlpm.raw, LOWER(A70),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70" s="15" t="str" cm="1">
        <f t="array" ref="H70">_xlfn.LET(
 _xlpm.raw, LOWER(A70),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71" spans="1:8" ht="15.75" thickBot="1" x14ac:dyDescent="0.3">
      <c r="A71" s="7" t="s">
        <v>407</v>
      </c>
      <c r="B71" s="15" t="str" cm="1">
        <f t="array" ref="B71">_xlfn.LET(
 _xlpm.raw, LOWER(A71),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71" s="15" t="str" cm="1">
        <f t="array" ref="E71">_xlfn.LET(
 _xlpm.raw, LOWER(A71),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71" s="15" t="str" cm="1">
        <f t="array" ref="H71">_xlfn.LET(
 _xlpm.raw, LOWER(A71),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72" spans="1:8" ht="15.75" thickBot="1" x14ac:dyDescent="0.3">
      <c r="A72" s="7" t="s">
        <v>409</v>
      </c>
      <c r="B72" s="15" t="str" cm="1">
        <f t="array" ref="B72">_xlfn.LET(
 _xlpm.raw, LOWER(A72),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72" s="15" t="str" cm="1">
        <f t="array" ref="E72">_xlfn.LET(
 _xlpm.raw, LOWER(A72),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72" s="15" t="str" cm="1">
        <f t="array" ref="H72">_xlfn.LET(
 _xlpm.raw, LOWER(A72),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73" spans="1:8" ht="15.75" thickBot="1" x14ac:dyDescent="0.3">
      <c r="A73" s="7" t="s">
        <v>411</v>
      </c>
      <c r="B73" s="15" t="str" cm="1">
        <f t="array" ref="B73">_xlfn.LET(
 _xlpm.raw, LOWER(A73),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73" s="15" t="str" cm="1">
        <f t="array" ref="E73">_xlfn.LET(
 _xlpm.raw, LOWER(A73),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73" s="15" t="str" cm="1">
        <f t="array" ref="H73">_xlfn.LET(
 _xlpm.raw, LOWER(A73),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74" spans="1:8" ht="15.75" thickBot="1" x14ac:dyDescent="0.3">
      <c r="A74" s="7" t="s">
        <v>414</v>
      </c>
      <c r="B74" s="15" t="str" cm="1">
        <f t="array" ref="B74">_xlfn.LET(
 _xlpm.raw, LOWER(A74),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74" s="15" t="str" cm="1">
        <f t="array" ref="E74">_xlfn.LET(
 _xlpm.raw, LOWER(A74),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74" s="15" t="str" cm="1">
        <f t="array" ref="H74">_xlfn.LET(
 _xlpm.raw, LOWER(A74),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75" spans="1:8" ht="15.75" thickBot="1" x14ac:dyDescent="0.3">
      <c r="A75" s="7" t="s">
        <v>416</v>
      </c>
      <c r="B75" s="15" t="str" cm="1">
        <f t="array" ref="B75">_xlfn.LET(
 _xlpm.raw, LOWER(A75),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75" s="15" t="str" cm="1">
        <f t="array" ref="E75">_xlfn.LET(
 _xlpm.raw, LOWER(A75),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75" s="15" t="str" cm="1">
        <f t="array" ref="H75">_xlfn.LET(
 _xlpm.raw, LOWER(A75),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76" spans="1:8" ht="15.75" thickBot="1" x14ac:dyDescent="0.3">
      <c r="A76" s="7" t="s">
        <v>418</v>
      </c>
      <c r="B76" s="15" t="str" cm="1">
        <f t="array" ref="B76">_xlfn.LET(
 _xlpm.raw, LOWER(A76),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76" s="15" t="str" cm="1">
        <f t="array" ref="E76">_xlfn.LET(
 _xlpm.raw, LOWER(A76),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76" s="15" t="str" cm="1">
        <f t="array" ref="H76">_xlfn.LET(
 _xlpm.raw, LOWER(A76),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77" spans="1:8" ht="15.75" thickBot="1" x14ac:dyDescent="0.3">
      <c r="A77" s="7" t="s">
        <v>420</v>
      </c>
      <c r="B77" s="15" t="str" cm="1">
        <f t="array" ref="B77">_xlfn.LET(
 _xlpm.raw, LOWER(A77),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77" s="15" t="str" cm="1">
        <f t="array" ref="E77">_xlfn.LET(
 _xlpm.raw, LOWER(A77),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77" s="15" t="str" cm="1">
        <f t="array" ref="H77">_xlfn.LET(
 _xlpm.raw, LOWER(A77),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78" spans="1:8" ht="15.75" thickBot="1" x14ac:dyDescent="0.3">
      <c r="A78" s="7" t="s">
        <v>422</v>
      </c>
      <c r="B78" s="15" t="str" cm="1">
        <f t="array" ref="B78">_xlfn.LET(
 _xlpm.raw, LOWER(A78),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78" s="15" t="str" cm="1">
        <f t="array" ref="E78">_xlfn.LET(
 _xlpm.raw, LOWER(A78),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78" s="15" t="str" cm="1">
        <f t="array" ref="H78">_xlfn.LET(
 _xlpm.raw, LOWER(A78),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79" spans="1:8" ht="15.75" thickBot="1" x14ac:dyDescent="0.3">
      <c r="A79" s="7" t="s">
        <v>424</v>
      </c>
      <c r="B79" s="15" t="str" cm="1">
        <f t="array" ref="B79">_xlfn.LET(
 _xlpm.raw, LOWER(A79),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79" s="15" t="str" cm="1">
        <f t="array" ref="E79">_xlfn.LET(
 _xlpm.raw, LOWER(A79),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79" s="15" t="str" cm="1">
        <f t="array" ref="H79">_xlfn.LET(
 _xlpm.raw, LOWER(A79),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80" spans="1:8" ht="15.75" thickBot="1" x14ac:dyDescent="0.3">
      <c r="A80" s="7" t="s">
        <v>427</v>
      </c>
      <c r="B80" s="15" t="str" cm="1">
        <f t="array" ref="B80">_xlfn.LET(
 _xlpm.raw, LOWER(A80),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80" s="15" t="str" cm="1">
        <f t="array" ref="E80">_xlfn.LET(
 _xlpm.raw, LOWER(A80),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80" s="15" t="str" cm="1">
        <f t="array" ref="H80">_xlfn.LET(
 _xlpm.raw, LOWER(A80),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81" spans="1:8" ht="15.75" thickBot="1" x14ac:dyDescent="0.3">
      <c r="A81" s="7" t="s">
        <v>431</v>
      </c>
      <c r="B81" s="15" t="str" cm="1">
        <f t="array" ref="B81">_xlfn.LET(
 _xlpm.raw, LOWER(A81),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81" s="15" t="str" cm="1">
        <f t="array" ref="E81">_xlfn.LET(
 _xlpm.raw, LOWER(A81),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81" s="15" t="str" cm="1">
        <f t="array" ref="H81">_xlfn.LET(
 _xlpm.raw, LOWER(A81),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82" spans="1:8" ht="15.75" thickBot="1" x14ac:dyDescent="0.3">
      <c r="A82" s="7" t="s">
        <v>434</v>
      </c>
      <c r="B82" s="15" t="str" cm="1">
        <f t="array" ref="B82">_xlfn.LET(
 _xlpm.raw, LOWER(A82),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82" s="15" t="str" cm="1">
        <f t="array" ref="E82">_xlfn.LET(
 _xlpm.raw, LOWER(A82),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82" s="15" t="str" cm="1">
        <f t="array" ref="H82">_xlfn.LET(
 _xlpm.raw, LOWER(A82),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focus</v>
      </c>
    </row>
    <row r="83" spans="1:8" ht="15.75" thickBot="1" x14ac:dyDescent="0.3">
      <c r="A83" s="7" t="s">
        <v>210</v>
      </c>
      <c r="B83" s="15" t="str" cm="1">
        <f t="array" ref="B83">_xlfn.LET(
 _xlpm.raw, LOWER(A83),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83" s="15" t="str" cm="1">
        <f t="array" ref="E83">_xlfn.LET(
 _xlpm.raw, LOWER(A83),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83" s="15" t="str" cm="1">
        <f t="array" ref="H83">_xlfn.LET(
 _xlpm.raw, LOWER(A83),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84" spans="1:8" ht="15.75" thickBot="1" x14ac:dyDescent="0.3">
      <c r="A84" s="7" t="s">
        <v>215</v>
      </c>
      <c r="B84" s="15" t="str" cm="1">
        <f t="array" ref="B84">_xlfn.LET(
 _xlpm.raw, LOWER(A84),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84" s="15" t="str" cm="1">
        <f t="array" ref="E84">_xlfn.LET(
 _xlpm.raw, LOWER(A84),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84" s="15" t="str" cm="1">
        <f t="array" ref="H84">_xlfn.LET(
 _xlpm.raw, LOWER(A84),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85" spans="1:8" ht="15.75" thickBot="1" x14ac:dyDescent="0.3">
      <c r="A85" s="7" t="s">
        <v>220</v>
      </c>
      <c r="B85" s="15" t="str" cm="1">
        <f t="array" ref="B85">_xlfn.LET(
 _xlpm.raw, LOWER(A85),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85" s="15" t="str" cm="1">
        <f t="array" ref="E85">_xlfn.LET(
 _xlpm.raw, LOWER(A85),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85" s="15" t="str" cm="1">
        <f t="array" ref="H85">_xlfn.LET(
 _xlpm.raw, LOWER(A85),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resilience</v>
      </c>
    </row>
    <row r="86" spans="1:8" ht="15.75" thickBot="1" x14ac:dyDescent="0.3">
      <c r="A86" s="7" t="s">
        <v>224</v>
      </c>
      <c r="B86" s="15" t="str" cm="1">
        <f t="array" ref="B86">_xlfn.LET(
 _xlpm.raw, LOWER(A86),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86" s="15" t="str" cm="1">
        <f t="array" ref="E86">_xlfn.LET(
 _xlpm.raw, LOWER(A86),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86" s="15" t="str" cm="1">
        <f t="array" ref="H86">_xlfn.LET(
 _xlpm.raw, LOWER(A86),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87" spans="1:8" ht="15.75" thickBot="1" x14ac:dyDescent="0.3">
      <c r="A87" s="7" t="s">
        <v>229</v>
      </c>
      <c r="B87" s="15" t="str" cm="1">
        <f t="array" ref="B87">_xlfn.LET(
 _xlpm.raw, LOWER(A87),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endurance</v>
      </c>
      <c r="E87" s="15" t="str" cm="1">
        <f t="array" ref="E87">_xlfn.LET(
 _xlpm.raw, LOWER(A87),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athlete-health</v>
      </c>
      <c r="H87" s="15" t="str" cm="1">
        <f t="array" ref="H87">_xlfn.LET(
 _xlpm.raw, LOWER(A87),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88" spans="1:8" ht="15.75" thickBot="1" x14ac:dyDescent="0.3">
      <c r="A88" s="7" t="s">
        <v>233</v>
      </c>
      <c r="B88" s="15" t="str" cm="1">
        <f t="array" ref="B88">_xlfn.LET(
 _xlpm.raw, LOWER(A88),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88" s="15" t="str" cm="1">
        <f t="array" ref="E88">_xlfn.LET(
 _xlpm.raw, LOWER(A88),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perfectionism, injury-recovery</v>
      </c>
      <c r="H88" s="15" t="str" cm="1">
        <f t="array" ref="H88">_xlfn.LET(
 _xlpm.raw, LOWER(A88),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89" spans="1:8" ht="15.75" thickBot="1" x14ac:dyDescent="0.3">
      <c r="A89" s="7" t="s">
        <v>237</v>
      </c>
      <c r="B89" s="15" t="str" cm="1">
        <f t="array" ref="B89">_xlfn.LET(
 _xlpm.raw, LOWER(A89),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89" s="15" t="str" cm="1">
        <f t="array" ref="E89">_xlfn.LET(
 _xlpm.raw, LOWER(A89),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89" s="15" t="str" cm="1">
        <f t="array" ref="H89">_xlfn.LET(
 _xlpm.raw, LOWER(A89),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90" spans="1:8" ht="15.75" thickBot="1" x14ac:dyDescent="0.3">
      <c r="A90" s="7" t="s">
        <v>242</v>
      </c>
      <c r="B90" s="15" t="str" cm="1">
        <f t="array" ref="B90">_xlfn.LET(
 _xlpm.raw, LOWER(A90),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90" s="15" t="str" cm="1">
        <f t="array" ref="E90">_xlfn.LET(
 _xlpm.raw, LOWER(A90),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90" s="15" t="str" cm="1">
        <f t="array" ref="H90">_xlfn.LET(
 _xlpm.raw, LOWER(A90),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91" spans="1:8" ht="15.75" thickBot="1" x14ac:dyDescent="0.3">
      <c r="A91" s="7" t="s">
        <v>246</v>
      </c>
      <c r="B91" s="15" t="str" cm="1">
        <f t="array" ref="B91">_xlfn.LET(
 _xlpm.raw, LOWER(A91),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91" s="15" t="str" cm="1">
        <f t="array" ref="E91">_xlfn.LET(
 _xlpm.raw, LOWER(A91),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91" s="15" t="str" cm="1">
        <f t="array" ref="H91">_xlfn.LET(
 _xlpm.raw, LOWER(A91),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focus</v>
      </c>
    </row>
    <row r="92" spans="1:8" ht="15.75" thickBot="1" x14ac:dyDescent="0.3">
      <c r="A92" s="7" t="s">
        <v>248</v>
      </c>
      <c r="B92" s="15" t="str" cm="1">
        <f t="array" ref="B92">_xlfn.LET(
 _xlpm.raw, LOWER(A92),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92" s="15" t="str" cm="1">
        <f t="array" ref="E92">_xlfn.LET(
 _xlpm.raw, LOWER(A92),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92" s="15" t="str" cm="1">
        <f t="array" ref="H92">_xlfn.LET(
 _xlpm.raw, LOWER(A92),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93" spans="1:8" ht="15.75" thickBot="1" x14ac:dyDescent="0.3">
      <c r="A93" s="7" t="s">
        <v>255</v>
      </c>
      <c r="B93" s="15" t="str" cm="1">
        <f t="array" ref="B93">_xlfn.LET(
 _xlpm.raw, LOWER(A93),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93" s="15" t="str" cm="1">
        <f t="array" ref="E93">_xlfn.LET(
 _xlpm.raw, LOWER(A93),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93" s="15" t="str" cm="1">
        <f t="array" ref="H93">_xlfn.LET(
 _xlpm.raw, LOWER(A93),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resilience</v>
      </c>
    </row>
    <row r="94" spans="1:8" ht="15.75" thickBot="1" x14ac:dyDescent="0.3">
      <c r="A94" s="7" t="s">
        <v>258</v>
      </c>
      <c r="B94" s="15" t="str" cm="1">
        <f t="array" ref="B94">_xlfn.LET(
 _xlpm.raw, LOWER(A94),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94" s="15" t="str" cm="1">
        <f t="array" ref="E94">_xlfn.LET(
 _xlpm.raw, LOWER(A94),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94" s="15" t="str" cm="1">
        <f t="array" ref="H94">_xlfn.LET(
 _xlpm.raw, LOWER(A94),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95" spans="1:8" ht="15.75" thickBot="1" x14ac:dyDescent="0.3">
      <c r="A95" s="7" t="s">
        <v>262</v>
      </c>
      <c r="B95" s="15" t="str" cm="1">
        <f t="array" ref="B95">_xlfn.LET(
 _xlpm.raw, LOWER(A95),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95" s="15" t="str" cm="1">
        <f t="array" ref="E95">_xlfn.LET(
 _xlpm.raw, LOWER(A95),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95" s="15" t="str" cm="1">
        <f t="array" ref="H95">_xlfn.LET(
 _xlpm.raw, LOWER(A95),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96" spans="1:8" ht="15.75" thickBot="1" x14ac:dyDescent="0.3">
      <c r="A96" s="7" t="s">
        <v>267</v>
      </c>
      <c r="B96" s="15" t="str" cm="1">
        <f t="array" ref="B96">_xlfn.LET(
 _xlpm.raw, LOWER(A96),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96" s="15" t="str" cm="1">
        <f t="array" ref="E96">_xlfn.LET(
 _xlpm.raw, LOWER(A96),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96" s="15" t="str" cm="1">
        <f t="array" ref="H96">_xlfn.LET(
 _xlpm.raw, LOWER(A96),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97" spans="1:8" ht="15.75" thickBot="1" x14ac:dyDescent="0.3">
      <c r="A97" s="7" t="s">
        <v>271</v>
      </c>
      <c r="B97" s="15" t="str" cm="1">
        <f t="array" ref="B97">_xlfn.LET(
 _xlpm.raw, LOWER(A97),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97" s="15" t="str" cm="1">
        <f t="array" ref="E97">_xlfn.LET(
 _xlpm.raw, LOWER(A97),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97" s="15" t="str" cm="1">
        <f t="array" ref="H97">_xlfn.LET(
 _xlpm.raw, LOWER(A97),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98" spans="1:8" ht="15.75" thickBot="1" x14ac:dyDescent="0.3">
      <c r="A98" s="7" t="s">
        <v>275</v>
      </c>
      <c r="B98" s="15" t="str" cm="1">
        <f t="array" ref="B98">_xlfn.LET(
 _xlpm.raw, LOWER(A98),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98" s="15" t="str" cm="1">
        <f t="array" ref="E98">_xlfn.LET(
 _xlpm.raw, LOWER(A98),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98" s="15" t="str" cm="1">
        <f t="array" ref="H98">_xlfn.LET(
 _xlpm.raw, LOWER(A98),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99" spans="1:8" ht="15.75" thickBot="1" x14ac:dyDescent="0.3">
      <c r="A99" s="7" t="s">
        <v>279</v>
      </c>
      <c r="B99" s="15" t="str" cm="1">
        <f t="array" ref="B99">_xlfn.LET(
 _xlpm.raw, LOWER(A99),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99" s="15" t="str" cm="1">
        <f t="array" ref="E99">_xlfn.LET(
 _xlpm.raw, LOWER(A99),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99" s="15" t="str" cm="1">
        <f t="array" ref="H99">_xlfn.LET(
 _xlpm.raw, LOWER(A99),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100" spans="1:8" ht="15.75" thickBot="1" x14ac:dyDescent="0.3">
      <c r="A100" s="7" t="s">
        <v>282</v>
      </c>
      <c r="B100" s="15" t="str" cm="1">
        <f t="array" ref="B100">_xlfn.LET(
 _xlpm.raw, LOWER(A100),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100" s="15" t="str" cm="1">
        <f t="array" ref="E100">_xlfn.LET(
 _xlpm.raw, LOWER(A100),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100" s="15" t="str" cm="1">
        <f t="array" ref="H100">_xlfn.LET(
 _xlpm.raw, LOWER(A100),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101" spans="1:8" ht="15.75" thickBot="1" x14ac:dyDescent="0.3">
      <c r="A101" s="7" t="s">
        <v>284</v>
      </c>
      <c r="B101" s="15" t="str" cm="1">
        <f t="array" ref="B101">_xlfn.LET(
 _xlpm.raw, LOWER(A101),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101" s="15" t="str" cm="1">
        <f t="array" ref="E101">_xlfn.LET(
 _xlpm.raw, LOWER(A101),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101" s="15" t="str" cm="1">
        <f t="array" ref="H101">_xlfn.LET(
 _xlpm.raw, LOWER(A101),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focus</v>
      </c>
    </row>
    <row r="102" spans="1:8" ht="15.75" thickBot="1" x14ac:dyDescent="0.3">
      <c r="A102" s="7" t="s">
        <v>287</v>
      </c>
      <c r="B102" s="15" t="str" cm="1">
        <f t="array" ref="B102">_xlfn.LET(
 _xlpm.raw, LOWER(A102),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102" s="15" t="str" cm="1">
        <f t="array" ref="E102">_xlfn.LET(
 _xlpm.raw, LOWER(A102),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102" s="15" t="str" cm="1">
        <f t="array" ref="H102">_xlfn.LET(
 _xlpm.raw, LOWER(A102),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103" spans="1:8" ht="15.75" thickBot="1" x14ac:dyDescent="0.3">
      <c r="A103" s="7" t="s">
        <v>290</v>
      </c>
      <c r="B103" s="15" t="str" cm="1">
        <f t="array" ref="B103">_xlfn.LET(
 _xlpm.raw, LOWER(A103),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103" s="15" t="str" cm="1">
        <f t="array" ref="E103">_xlfn.LET(
 _xlpm.raw, LOWER(A103),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103" s="15" t="str" cm="1">
        <f t="array" ref="H103">_xlfn.LET(
 _xlpm.raw, LOWER(A103),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104" spans="1:8" ht="15.75" thickBot="1" x14ac:dyDescent="0.3">
      <c r="A104" s="7" t="s">
        <v>294</v>
      </c>
      <c r="B104" s="15" t="str" cm="1">
        <f t="array" ref="B104">_xlfn.LET(
 _xlpm.raw, LOWER(A104),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104" s="15" t="str" cm="1">
        <f t="array" ref="E104">_xlfn.LET(
 _xlpm.raw, LOWER(A104),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104" s="15" t="str" cm="1">
        <f t="array" ref="H104">_xlfn.LET(
 _xlpm.raw, LOWER(A104),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resilience</v>
      </c>
    </row>
    <row r="105" spans="1:8" ht="15.75" thickBot="1" x14ac:dyDescent="0.3">
      <c r="A105" s="7" t="s">
        <v>297</v>
      </c>
      <c r="B105" s="15" t="str" cm="1">
        <f t="array" ref="B105">_xlfn.LET(
 _xlpm.raw, LOWER(A105),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105" s="15" t="str" cm="1">
        <f t="array" ref="E105">_xlfn.LET(
 _xlpm.raw, LOWER(A105),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105" s="15" t="str" cm="1">
        <f t="array" ref="H105">_xlfn.LET(
 _xlpm.raw, LOWER(A105),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106" spans="1:8" ht="15.75" thickBot="1" x14ac:dyDescent="0.3">
      <c r="A106" s="7" t="s">
        <v>300</v>
      </c>
      <c r="B106" s="15" t="str" cm="1">
        <f t="array" ref="B106">_xlfn.LET(
 _xlpm.raw, LOWER(A106),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106" s="15" t="str" cm="1">
        <f t="array" ref="E106">_xlfn.LET(
 _xlpm.raw, LOWER(A106),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106" s="15" t="str" cm="1">
        <f t="array" ref="H106">_xlfn.LET(
 _xlpm.raw, LOWER(A106),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107" spans="1:8" ht="15.75" thickBot="1" x14ac:dyDescent="0.3">
      <c r="A107" s="7" t="s">
        <v>302</v>
      </c>
      <c r="B107" s="15" t="str" cm="1">
        <f t="array" ref="B107">_xlfn.LET(
 _xlpm.raw, LOWER(A107),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107" s="15" t="str" cm="1">
        <f t="array" ref="E107">_xlfn.LET(
 _xlpm.raw, LOWER(A107),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107" s="15" t="str" cm="1">
        <f t="array" ref="H107">_xlfn.LET(
 _xlpm.raw, LOWER(A107),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108" spans="1:8" ht="15.75" thickBot="1" x14ac:dyDescent="0.3">
      <c r="A108" s="7" t="s">
        <v>552</v>
      </c>
      <c r="B108" s="15" t="str" cm="1">
        <f t="array" ref="B108">_xlfn.LET(
 _xlpm.raw, LOWER(A108),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108" s="15" t="str" cm="1">
        <f t="array" ref="E108">_xlfn.LET(
 _xlpm.raw, LOWER(A108),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108" s="15" t="str" cm="1">
        <f t="array" ref="H108">_xlfn.LET(
 _xlpm.raw, LOWER(A108),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motivation</v>
      </c>
    </row>
    <row r="109" spans="1:8" ht="15.75" thickBot="1" x14ac:dyDescent="0.3">
      <c r="A109" s="7" t="s">
        <v>308</v>
      </c>
      <c r="B109" s="15" t="str" cm="1">
        <f t="array" ref="B109">_xlfn.LET(
 _xlpm.raw, LOWER(A109),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109" s="15" t="str" cm="1">
        <f t="array" ref="E109">_xlfn.LET(
 _xlpm.raw, LOWER(A109),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109" s="15" t="str" cm="1">
        <f t="array" ref="H109">_xlfn.LET(
 _xlpm.raw, LOWER(A109),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110" spans="1:8" ht="15.75" thickBot="1" x14ac:dyDescent="0.3">
      <c r="A110" s="7" t="s">
        <v>551</v>
      </c>
      <c r="B110" s="15" t="str" cm="1">
        <f t="array" ref="B110">_xlfn.LET(
 _xlpm.raw, LOWER(A110),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110" s="15" t="str" cm="1">
        <f t="array" ref="E110">_xlfn.LET(
 _xlpm.raw, LOWER(A110),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110" s="15" t="str" cm="1">
        <f t="array" ref="H110">_xlfn.LET(
 _xlpm.raw, LOWER(A110),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focus</v>
      </c>
    </row>
    <row r="111" spans="1:8" ht="15.75" thickBot="1" x14ac:dyDescent="0.3">
      <c r="A111" s="7" t="s">
        <v>316</v>
      </c>
      <c r="B111" s="15" t="str" cm="1">
        <f t="array" ref="B111">_xlfn.LET(
 _xlpm.raw, LOWER(A111),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111" s="15" t="str" cm="1">
        <f t="array" ref="E111">_xlfn.LET(
 _xlpm.raw, LOWER(A111),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111" s="15" t="str" cm="1">
        <f t="array" ref="H111">_xlfn.LET(
 _xlpm.raw, LOWER(A111),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112" spans="1:8" ht="15.75" thickBot="1" x14ac:dyDescent="0.3">
      <c r="A112" s="7" t="s">
        <v>319</v>
      </c>
      <c r="B112" s="15" t="str" cm="1">
        <f t="array" ref="B112">_xlfn.LET(
 _xlpm.raw, LOWER(A112),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112" s="15" t="str" cm="1">
        <f t="array" ref="E112">_xlfn.LET(
 _xlpm.raw, LOWER(A112),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112" s="15" t="str" cm="1">
        <f t="array" ref="H112">_xlfn.LET(
 _xlpm.raw, LOWER(A112),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113" spans="1:8" ht="15.75" thickBot="1" x14ac:dyDescent="0.3">
      <c r="A113" s="7" t="s">
        <v>322</v>
      </c>
      <c r="B113" s="15" t="str" cm="1">
        <f t="array" ref="B113">_xlfn.LET(
 _xlpm.raw, LOWER(A113),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113" s="15" t="str" cm="1">
        <f t="array" ref="E113">_xlfn.LET(
 _xlpm.raw, LOWER(A113),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113" s="15" t="str" cm="1">
        <f t="array" ref="H113">_xlfn.LET(
 _xlpm.raw, LOWER(A113),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114" spans="1:8" ht="15.75" thickBot="1" x14ac:dyDescent="0.3">
      <c r="A114" s="7" t="s">
        <v>325</v>
      </c>
      <c r="B114" s="15" t="str" cm="1">
        <f t="array" ref="B114">_xlfn.LET(
 _xlpm.raw, LOWER(A114),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114" s="15" t="str" cm="1">
        <f t="array" ref="E114">_xlfn.LET(
 _xlpm.raw, LOWER(A114),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114" s="15" t="str" cm="1">
        <f t="array" ref="H114">_xlfn.LET(
 _xlpm.raw, LOWER(A114),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115" spans="1:8" ht="15.75" thickBot="1" x14ac:dyDescent="0.3">
      <c r="A115" s="7" t="s">
        <v>329</v>
      </c>
      <c r="B115" s="15" t="str" cm="1">
        <f t="array" ref="B115">_xlfn.LET(
 _xlpm.raw, LOWER(A115),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115" s="15" t="str" cm="1">
        <f t="array" ref="E115">_xlfn.LET(
 _xlpm.raw, LOWER(A115),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athlete-health</v>
      </c>
      <c r="H115" s="15" t="str" cm="1">
        <f t="array" ref="H115">_xlfn.LET(
 _xlpm.raw, LOWER(A115),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  <row r="116" spans="1:8" ht="15.75" thickBot="1" x14ac:dyDescent="0.3">
      <c r="A116" s="7" t="s">
        <v>331</v>
      </c>
      <c r="B116" s="15" t="str" cm="1">
        <f t="array" ref="B116">_xlfn.LET(
 _xlpm.raw, LOWER(A116),
 _xlpm.parts, TRIM(_xlfn.TEXTSPLIT(_xlpm.raw, ",")),
 _xlpm.mapped, IFERROR(_xlfn.XLOOKUP(_xlpm.parts, LOWER($B$2:$B$16), $C$2:$C$16), ""),
 _xlpm.cleaned, _xlfn._xlws.FILTER(_xlpm.mapped, _xlpm.mapped&lt;&gt;""),
 _xlpm.out, IFERROR(_xlfn.TEXTJOIN(", ", TRUE, _xlfn.UNIQUE(_xlpm.cleaned)), ""),
 IF(_xlpm.out="", "multi-sport", _xlpm.out)
)</f>
        <v>multi-sport</v>
      </c>
      <c r="E116" s="15" t="str" cm="1">
        <f t="array" ref="E116">_xlfn.LET(
 _xlpm.raw, LOWER(A116),
 _xlpm.parts, TRIM(_xlfn.TEXTSPLIT(_xlpm.raw, ",")),
 _xlpm.mapped, IFERROR(_xlfn.XLOOKUP(_xlpm.parts, LOWER($E$2:$E$16), $F$2:$F$16), ""),
 _xlpm.cleaned, _xlfn._xlws.FILTER(_xlpm.mapped, _xlpm.mapped&lt;&gt;""),
 _xlpm.out, IFERROR(_xlfn.TEXTJOIN(", ", TRUE, _xlfn.UNIQUE(_xlpm.cleaned)), ""),
 IF(_xlpm.out="", "performance, confidence", _xlpm.out)
)</f>
        <v>performance, confidence</v>
      </c>
      <c r="H116" s="15" t="str" cm="1">
        <f t="array" ref="H116">_xlfn.LET(
 _xlpm.raw, LOWER(A116),
 _xlpm.parts, TRIM(_xlfn.TEXTSPLIT(_xlpm.raw, ",")),
 _xlpm.mapped, IFERROR(_xlfn.XLOOKUP(_xlpm.parts, LOWER($H$2:$H$16), $I$2:$I$16), ""),
 _xlpm.cleaned, _xlfn._xlws.FILTER(_xlpm.mapped, _xlpm.mapped&lt;&gt;""),
 _xlpm.out, IFERROR(_xlfn.TEXTJOIN(", ", TRUE, _xlfn.UNIQUE(_xlpm.cleaned)), ""),
 IF(_xlpm.out="", "mindset", _xlpm.out)
)</f>
        <v>mindset</v>
      </c>
    </row>
  </sheetData>
  <hyperlinks>
    <hyperlink ref="A18" r:id="rId1" display="https://www.peaksports.com/online-sports-psychology-virtual-sessions-for-athletes/" xr:uid="{6041324D-8B65-48BB-BD90-C5DC27EA48F3}"/>
    <hyperlink ref="A19" r:id="rId2" display="https://www.kidssportspsychology.com/virtual-sports-psychology-for-kids/" xr:uid="{98469590-B608-4906-8C64-1F4425511BE4}"/>
    <hyperlink ref="A20" r:id="rId3" display="https://www.drjoann.com/" xr:uid="{8281BF97-8F89-4138-A664-0026F683DB7D}"/>
    <hyperlink ref="A21" r:id="rId4" display="https://maximizethemind.com/" xr:uid="{B7C3B334-3274-4234-B6C2-414829CE9704}"/>
    <hyperlink ref="A22" r:id="rId5" display="https://unlimitedresiliencellc.com/join-our-team/" xr:uid="{1C915F6D-2D82-4B25-B00A-EB6FD0EF385E}"/>
    <hyperlink ref="A23" r:id="rId6" display="https://theperformancepursuitconsulting.com/" xr:uid="{711DA0FB-EFB3-4E44-ACF1-43327424E5B7}"/>
    <hyperlink ref="A24" r:id="rId7" display="https://www.peakmpc.com/about" xr:uid="{298E0F5F-CD9F-435F-905B-D5AB98BE8D0E}"/>
    <hyperlink ref="A25" r:id="rId8" display="https://mindbodyendurance.com/sport-psychology/psychologists/" xr:uid="{B7FE7328-B130-46F2-A034-DA3EE574DE91}"/>
    <hyperlink ref="A26" r:id="rId9" display="https://drjuliewiernik.com/about/" xr:uid="{CCD94498-5EA8-4A72-88D2-62640F0FEA34}"/>
    <hyperlink ref="A27" r:id="rId10" display="https://www.winnersunlimited.com/" xr:uid="{842AB3BB-8607-4360-B0BE-28E4933DBCB7}"/>
    <hyperlink ref="A28" r:id="rId11" display="https://zencare.co/us/texas/houston/practices/specialty/sports-psychology" xr:uid="{9CEBBC7E-3992-4853-AEB7-603BB8AD2AC3}"/>
    <hyperlink ref="A29" r:id="rId12" display="https://www.facebook.com/groups/158783775422784/posts/1341395867161563/" xr:uid="{6D0B9F03-B8DD-4AB3-BA96-C0C3D393D0A8}"/>
    <hyperlink ref="A30" r:id="rId13" display="https://www.youthsportspsychology.com/youth_sports_psychology_blog/tag/peak-sports-video/" xr:uid="{F7258FC5-BA82-4BDC-B426-B0438F93DF6B}"/>
    <hyperlink ref="A31" r:id="rId14" display="https://www.sanarai.com/bilingual-psychologist" xr:uid="{1F30ACCE-256B-431F-832A-AC0B82C083B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181E1-DA83-4734-B87D-CA71723A490D}">
  <dimension ref="B2:L17"/>
  <sheetViews>
    <sheetView workbookViewId="0">
      <selection activeCell="K4" sqref="K4"/>
    </sheetView>
  </sheetViews>
  <sheetFormatPr defaultRowHeight="15" x14ac:dyDescent="0.25"/>
  <sheetData>
    <row r="2" spans="3:12" x14ac:dyDescent="0.25">
      <c r="C2" t="s">
        <v>80</v>
      </c>
      <c r="D2" s="3" t="s">
        <v>81</v>
      </c>
      <c r="E2" t="s">
        <v>82</v>
      </c>
      <c r="F2" t="s">
        <v>17</v>
      </c>
      <c r="G2" t="s">
        <v>17</v>
      </c>
      <c r="H2" t="s">
        <v>83</v>
      </c>
      <c r="I2" t="s">
        <v>84</v>
      </c>
      <c r="J2" t="s">
        <v>85</v>
      </c>
      <c r="K2" t="s">
        <v>86</v>
      </c>
      <c r="L2" t="s">
        <v>79</v>
      </c>
    </row>
    <row r="3" spans="3:12" x14ac:dyDescent="0.25">
      <c r="C3" t="s">
        <v>87</v>
      </c>
      <c r="D3" s="3" t="s">
        <v>88</v>
      </c>
      <c r="E3" t="s">
        <v>16</v>
      </c>
      <c r="F3" t="s">
        <v>17</v>
      </c>
      <c r="G3" t="s">
        <v>17</v>
      </c>
      <c r="H3" t="s">
        <v>89</v>
      </c>
      <c r="I3" t="s">
        <v>90</v>
      </c>
      <c r="J3" t="s">
        <v>91</v>
      </c>
      <c r="K3" t="s">
        <v>92</v>
      </c>
      <c r="L3" t="s">
        <v>93</v>
      </c>
    </row>
    <row r="4" spans="3:12" x14ac:dyDescent="0.25">
      <c r="C4" t="s">
        <v>94</v>
      </c>
      <c r="D4" s="3" t="s">
        <v>95</v>
      </c>
      <c r="E4" t="s">
        <v>96</v>
      </c>
      <c r="F4" t="s">
        <v>17</v>
      </c>
      <c r="G4" t="s">
        <v>17</v>
      </c>
      <c r="H4" t="s">
        <v>97</v>
      </c>
      <c r="I4" t="s">
        <v>98</v>
      </c>
      <c r="J4" t="s">
        <v>99</v>
      </c>
      <c r="K4" t="s">
        <v>100</v>
      </c>
      <c r="L4" t="s">
        <v>79</v>
      </c>
    </row>
    <row r="5" spans="3:12" x14ac:dyDescent="0.25">
      <c r="C5" t="s">
        <v>101</v>
      </c>
      <c r="D5" s="3" t="s">
        <v>102</v>
      </c>
      <c r="E5" t="s">
        <v>103</v>
      </c>
      <c r="F5" t="s">
        <v>17</v>
      </c>
      <c r="G5" t="s">
        <v>17</v>
      </c>
      <c r="H5" t="s">
        <v>104</v>
      </c>
      <c r="I5" t="s">
        <v>105</v>
      </c>
      <c r="J5" t="s">
        <v>106</v>
      </c>
      <c r="K5" t="s">
        <v>107</v>
      </c>
      <c r="L5" t="s">
        <v>79</v>
      </c>
    </row>
    <row r="6" spans="3:12" x14ac:dyDescent="0.25">
      <c r="C6" t="s">
        <v>108</v>
      </c>
      <c r="D6" s="3" t="s">
        <v>109</v>
      </c>
      <c r="E6" t="s">
        <v>16</v>
      </c>
      <c r="F6" t="s">
        <v>17</v>
      </c>
      <c r="G6" t="s">
        <v>17</v>
      </c>
      <c r="H6" t="s">
        <v>83</v>
      </c>
      <c r="I6" t="s">
        <v>84</v>
      </c>
      <c r="J6" t="s">
        <v>110</v>
      </c>
      <c r="K6" t="s">
        <v>111</v>
      </c>
      <c r="L6" t="s">
        <v>79</v>
      </c>
    </row>
    <row r="7" spans="3:12" x14ac:dyDescent="0.25">
      <c r="C7" t="s">
        <v>112</v>
      </c>
      <c r="D7" s="3" t="s">
        <v>113</v>
      </c>
      <c r="E7" t="s">
        <v>16</v>
      </c>
      <c r="F7" t="s">
        <v>17</v>
      </c>
      <c r="G7" t="s">
        <v>17</v>
      </c>
      <c r="H7" t="s">
        <v>114</v>
      </c>
      <c r="I7" t="s">
        <v>105</v>
      </c>
      <c r="J7" t="s">
        <v>115</v>
      </c>
      <c r="K7" t="s">
        <v>116</v>
      </c>
      <c r="L7" t="s">
        <v>79</v>
      </c>
    </row>
    <row r="8" spans="3:12" x14ac:dyDescent="0.25">
      <c r="C8" t="s">
        <v>117</v>
      </c>
      <c r="D8" s="3" t="s">
        <v>118</v>
      </c>
      <c r="E8" t="s">
        <v>119</v>
      </c>
      <c r="F8" t="s">
        <v>17</v>
      </c>
      <c r="G8" t="s">
        <v>17</v>
      </c>
      <c r="H8" t="s">
        <v>120</v>
      </c>
      <c r="I8" t="s">
        <v>121</v>
      </c>
      <c r="J8" t="s">
        <v>122</v>
      </c>
      <c r="K8" t="s">
        <v>123</v>
      </c>
      <c r="L8" t="s">
        <v>79</v>
      </c>
    </row>
    <row r="9" spans="3:12" x14ac:dyDescent="0.25">
      <c r="C9" t="s">
        <v>124</v>
      </c>
      <c r="D9" s="3" t="s">
        <v>125</v>
      </c>
      <c r="E9" t="s">
        <v>126</v>
      </c>
      <c r="F9" t="s">
        <v>17</v>
      </c>
      <c r="G9" t="s">
        <v>17</v>
      </c>
      <c r="H9" t="s">
        <v>127</v>
      </c>
      <c r="I9" t="s">
        <v>128</v>
      </c>
      <c r="J9" t="s">
        <v>129</v>
      </c>
      <c r="K9" t="s">
        <v>130</v>
      </c>
      <c r="L9" t="s">
        <v>79</v>
      </c>
    </row>
    <row r="10" spans="3:12" x14ac:dyDescent="0.25">
      <c r="C10" t="s">
        <v>131</v>
      </c>
      <c r="D10" s="3" t="s">
        <v>132</v>
      </c>
      <c r="E10" t="s">
        <v>16</v>
      </c>
      <c r="F10" t="s">
        <v>17</v>
      </c>
      <c r="G10" t="s">
        <v>17</v>
      </c>
      <c r="H10" t="s">
        <v>133</v>
      </c>
      <c r="I10" t="s">
        <v>134</v>
      </c>
      <c r="J10" t="s">
        <v>135</v>
      </c>
      <c r="K10" t="s">
        <v>136</v>
      </c>
      <c r="L10" t="s">
        <v>79</v>
      </c>
    </row>
    <row r="11" spans="3:12" x14ac:dyDescent="0.25">
      <c r="C11" t="s">
        <v>137</v>
      </c>
      <c r="D11" s="3" t="s">
        <v>138</v>
      </c>
      <c r="E11" t="s">
        <v>139</v>
      </c>
      <c r="F11" t="s">
        <v>17</v>
      </c>
      <c r="G11" t="s">
        <v>17</v>
      </c>
      <c r="H11" t="s">
        <v>114</v>
      </c>
      <c r="I11" t="s">
        <v>105</v>
      </c>
      <c r="J11" t="s">
        <v>140</v>
      </c>
      <c r="K11" t="s">
        <v>141</v>
      </c>
      <c r="L11" t="s">
        <v>79</v>
      </c>
    </row>
    <row r="12" spans="3:12" x14ac:dyDescent="0.25">
      <c r="C12" t="s">
        <v>142</v>
      </c>
      <c r="D12" s="3" t="s">
        <v>143</v>
      </c>
      <c r="E12" t="s">
        <v>16</v>
      </c>
      <c r="F12" t="s">
        <v>17</v>
      </c>
      <c r="G12" t="s">
        <v>17</v>
      </c>
      <c r="H12" t="s">
        <v>144</v>
      </c>
      <c r="I12" t="s">
        <v>145</v>
      </c>
      <c r="J12" t="s">
        <v>146</v>
      </c>
      <c r="K12" t="s">
        <v>147</v>
      </c>
      <c r="L12" t="s">
        <v>148</v>
      </c>
    </row>
    <row r="13" spans="3:12" x14ac:dyDescent="0.25">
      <c r="C13" t="s">
        <v>149</v>
      </c>
      <c r="D13" s="3" t="s">
        <v>150</v>
      </c>
      <c r="E13" t="s">
        <v>16</v>
      </c>
      <c r="F13" t="s">
        <v>17</v>
      </c>
      <c r="G13" t="s">
        <v>17</v>
      </c>
      <c r="H13" t="s">
        <v>151</v>
      </c>
      <c r="I13" t="s">
        <v>90</v>
      </c>
      <c r="J13" t="s">
        <v>152</v>
      </c>
      <c r="K13" t="s">
        <v>153</v>
      </c>
      <c r="L13" t="s">
        <v>79</v>
      </c>
    </row>
    <row r="14" spans="3:12" x14ac:dyDescent="0.25">
      <c r="C14" t="s">
        <v>154</v>
      </c>
      <c r="D14" s="3" t="s">
        <v>155</v>
      </c>
      <c r="E14" t="s">
        <v>156</v>
      </c>
      <c r="F14" t="s">
        <v>17</v>
      </c>
      <c r="G14" t="s">
        <v>17</v>
      </c>
      <c r="H14" t="s">
        <v>157</v>
      </c>
      <c r="I14" t="s">
        <v>27</v>
      </c>
      <c r="J14" t="s">
        <v>158</v>
      </c>
      <c r="K14" t="s">
        <v>159</v>
      </c>
      <c r="L14" t="s">
        <v>79</v>
      </c>
    </row>
    <row r="15" spans="3:12" x14ac:dyDescent="0.25">
      <c r="C15" t="s">
        <v>160</v>
      </c>
      <c r="D15" s="3" t="s">
        <v>161</v>
      </c>
      <c r="E15" t="s">
        <v>16</v>
      </c>
      <c r="F15" t="s">
        <v>17</v>
      </c>
      <c r="G15" t="s">
        <v>17</v>
      </c>
      <c r="H15" t="s">
        <v>162</v>
      </c>
      <c r="I15" t="s">
        <v>27</v>
      </c>
      <c r="J15" t="s">
        <v>163</v>
      </c>
      <c r="K15" t="s">
        <v>164</v>
      </c>
      <c r="L15" t="s">
        <v>79</v>
      </c>
    </row>
    <row r="16" spans="3:12" x14ac:dyDescent="0.25">
      <c r="C16" t="s">
        <v>165</v>
      </c>
      <c r="D16" s="3" t="s">
        <v>166</v>
      </c>
      <c r="E16" t="s">
        <v>167</v>
      </c>
      <c r="F16" t="s">
        <v>17</v>
      </c>
      <c r="G16" t="s">
        <v>17</v>
      </c>
      <c r="H16" t="s">
        <v>168</v>
      </c>
      <c r="I16" t="s">
        <v>65</v>
      </c>
      <c r="J16" t="s">
        <v>169</v>
      </c>
      <c r="K16" t="s">
        <v>170</v>
      </c>
      <c r="L16" t="s">
        <v>79</v>
      </c>
    </row>
    <row r="17" spans="2:2" x14ac:dyDescent="0.25">
      <c r="B17" s="3"/>
    </row>
  </sheetData>
  <hyperlinks>
    <hyperlink ref="D2" r:id="rId1" display="https://www.keimperformanceconsulting.com/" xr:uid="{7BB655FF-2665-4D43-ACD8-6F059E944C47}"/>
    <hyperlink ref="D3" r:id="rId2" display="https://www.premiersportpsychology.com/" xr:uid="{3464EA3D-E93D-4F2F-BC1B-6C18498E27B2}"/>
    <hyperlink ref="D4" r:id="rId3" display="https://www.betterperformance.org/" xr:uid="{BB4FFBB3-013F-409C-83A3-84E2BCC6B6BD}"/>
    <hyperlink ref="D5" r:id="rId4" display="https://drhaleyperlus.com/" xr:uid="{FCDD8894-5D67-45A1-8709-FD284C3FCC1F}"/>
    <hyperlink ref="D6" r:id="rId5" display="https://drstankovich.com/" xr:uid="{10E01DAE-1902-43DC-8026-B5A3B323E7FE}"/>
    <hyperlink ref="D7" r:id="rId6" display="https://www.sportandperformancepsych.com/" xr:uid="{50BC175C-CFC5-407E-8ACB-0654261EF326}"/>
    <hyperlink ref="D8" r:id="rId7" display="https://www.themindside.com/" xr:uid="{F28737A3-2D5F-4977-ABA7-BB8BFC774DAF}"/>
    <hyperlink ref="D9" r:id="rId8" display="https://www.mindrightpsyc.com/" xr:uid="{D1DBC4C6-898F-4D98-B06F-8F64518A9FC2}"/>
    <hyperlink ref="D10" r:id="rId9" display="https://www.winningwithinsportspsychology.com/" xr:uid="{DAB72425-1A97-4FB0-B666-A6098EA6AE89}"/>
    <hyperlink ref="D11" r:id="rId10" display="https://www.coloradosportpsychology.com/" xr:uid="{B5B6B0FA-500C-4C88-9208-F44AE1897095}"/>
    <hyperlink ref="D12" r:id="rId11" display="https://www.sportstrata.com/" xr:uid="{9312E970-C459-4513-8EB2-2360F474E8B2}"/>
    <hyperlink ref="D13" r:id="rId12" display="https://www.headstrongconsulting.com/" xr:uid="{00968C10-AA8C-4C85-87B4-F0FF05C6DB49}"/>
    <hyperlink ref="D14" r:id="rId13" display="https://www.calisportpsych.com/" xr:uid="{995F6336-9C90-439F-97E5-18FEC48C9DCF}"/>
    <hyperlink ref="D15" r:id="rId14" display="https://www.sportpsychologyforathletes.com/" xr:uid="{F7B72D02-5622-44C4-B546-A054346A6877}"/>
    <hyperlink ref="D16" r:id="rId15" display="https://www.championmindsetconsulting.com/" xr:uid="{F94E4163-5E4D-4841-B923-EA565BB3501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3059-6D09-4FB4-9B19-AC432F136CDF}">
  <dimension ref="B1:F12"/>
  <sheetViews>
    <sheetView workbookViewId="0">
      <selection activeCell="B2" activeCellId="3" sqref="B1:F12"/>
    </sheetView>
  </sheetViews>
  <sheetFormatPr defaultRowHeight="15" x14ac:dyDescent="0.25"/>
  <sheetData>
    <row r="1" spans="2:6" x14ac:dyDescent="0.25">
      <c r="F1" t="s">
        <v>13</v>
      </c>
    </row>
    <row r="2" spans="2:6" x14ac:dyDescent="0.25">
      <c r="B2" t="s">
        <v>7</v>
      </c>
    </row>
    <row r="4" spans="2:6" x14ac:dyDescent="0.25">
      <c r="B4" t="s">
        <v>8</v>
      </c>
    </row>
    <row r="6" spans="2:6" x14ac:dyDescent="0.25">
      <c r="B6" t="s">
        <v>9</v>
      </c>
    </row>
    <row r="8" spans="2:6" x14ac:dyDescent="0.25">
      <c r="B8" t="s">
        <v>10</v>
      </c>
    </row>
    <row r="10" spans="2:6" x14ac:dyDescent="0.25">
      <c r="B10" t="s">
        <v>11</v>
      </c>
    </row>
    <row r="12" spans="2:6" x14ac:dyDescent="0.25">
      <c r="B1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48B11-7E39-4704-A378-ABDF9C478710}">
  <dimension ref="B1:H37"/>
  <sheetViews>
    <sheetView zoomScale="69" zoomScaleNormal="69" workbookViewId="0">
      <selection activeCell="B37" sqref="B2:H37"/>
    </sheetView>
  </sheetViews>
  <sheetFormatPr defaultRowHeight="15" x14ac:dyDescent="0.25"/>
  <cols>
    <col min="2" max="2" width="38.7109375" bestFit="1" customWidth="1"/>
    <col min="3" max="3" width="47.28515625" bestFit="1" customWidth="1"/>
    <col min="4" max="4" width="20.42578125" bestFit="1" customWidth="1"/>
    <col min="5" max="5" width="8.5703125" bestFit="1" customWidth="1"/>
    <col min="6" max="6" width="8.85546875" bestFit="1" customWidth="1"/>
    <col min="7" max="7" width="18.5703125" bestFit="1" customWidth="1"/>
    <col min="8" max="8" width="53.28515625" bestFit="1" customWidth="1"/>
  </cols>
  <sheetData>
    <row r="1" spans="2:8" ht="15.75" thickBot="1" x14ac:dyDescent="0.3"/>
    <row r="2" spans="2:8" ht="15.75" thickBot="1" x14ac:dyDescent="0.3">
      <c r="B2" s="6" t="s">
        <v>0</v>
      </c>
      <c r="C2" s="6" t="s">
        <v>1</v>
      </c>
      <c r="D2" s="6" t="s">
        <v>2</v>
      </c>
      <c r="E2" s="6" t="s">
        <v>203</v>
      </c>
      <c r="F2" s="6" t="s">
        <v>204</v>
      </c>
      <c r="G2" s="6" t="s">
        <v>205</v>
      </c>
      <c r="H2" s="6" t="s">
        <v>6</v>
      </c>
    </row>
    <row r="3" spans="2:8" ht="15.75" thickBot="1" x14ac:dyDescent="0.3">
      <c r="B3" s="6" t="s">
        <v>206</v>
      </c>
      <c r="C3" s="7" t="s">
        <v>207</v>
      </c>
      <c r="D3" s="7" t="s">
        <v>208</v>
      </c>
      <c r="E3" s="7" t="s">
        <v>17</v>
      </c>
      <c r="F3" s="7" t="s">
        <v>17</v>
      </c>
      <c r="G3" s="7" t="s">
        <v>209</v>
      </c>
      <c r="H3" s="7" t="s">
        <v>210</v>
      </c>
    </row>
    <row r="4" spans="2:8" ht="15.75" thickBot="1" x14ac:dyDescent="0.3">
      <c r="B4" s="6" t="s">
        <v>211</v>
      </c>
      <c r="C4" s="7" t="s">
        <v>212</v>
      </c>
      <c r="D4" s="7" t="s">
        <v>213</v>
      </c>
      <c r="E4" s="7" t="s">
        <v>17</v>
      </c>
      <c r="F4" s="7" t="s">
        <v>17</v>
      </c>
      <c r="G4" s="7" t="s">
        <v>214</v>
      </c>
      <c r="H4" s="7" t="s">
        <v>215</v>
      </c>
    </row>
    <row r="5" spans="2:8" ht="15.75" thickBot="1" x14ac:dyDescent="0.3">
      <c r="B5" s="6" t="s">
        <v>216</v>
      </c>
      <c r="C5" s="7" t="s">
        <v>217</v>
      </c>
      <c r="D5" s="7" t="s">
        <v>218</v>
      </c>
      <c r="E5" s="7" t="s">
        <v>17</v>
      </c>
      <c r="F5" s="7" t="s">
        <v>17</v>
      </c>
      <c r="G5" s="7" t="s">
        <v>219</v>
      </c>
      <c r="H5" s="7" t="s">
        <v>220</v>
      </c>
    </row>
    <row r="6" spans="2:8" ht="15.75" thickBot="1" x14ac:dyDescent="0.3">
      <c r="B6" s="6" t="s">
        <v>221</v>
      </c>
      <c r="C6" s="7" t="s">
        <v>222</v>
      </c>
      <c r="D6" s="7" t="s">
        <v>218</v>
      </c>
      <c r="E6" s="7" t="s">
        <v>17</v>
      </c>
      <c r="F6" s="7" t="s">
        <v>17</v>
      </c>
      <c r="G6" s="7" t="s">
        <v>223</v>
      </c>
      <c r="H6" s="7" t="s">
        <v>224</v>
      </c>
    </row>
    <row r="7" spans="2:8" ht="15.75" thickBot="1" x14ac:dyDescent="0.3">
      <c r="B7" s="6" t="s">
        <v>225</v>
      </c>
      <c r="C7" s="7" t="s">
        <v>226</v>
      </c>
      <c r="D7" s="7" t="s">
        <v>227</v>
      </c>
      <c r="E7" s="7" t="s">
        <v>17</v>
      </c>
      <c r="F7" s="7" t="s">
        <v>17</v>
      </c>
      <c r="G7" s="7" t="s">
        <v>228</v>
      </c>
      <c r="H7" s="7" t="s">
        <v>229</v>
      </c>
    </row>
    <row r="8" spans="2:8" ht="15.75" thickBot="1" x14ac:dyDescent="0.3">
      <c r="B8" s="6" t="s">
        <v>230</v>
      </c>
      <c r="C8" s="7" t="s">
        <v>231</v>
      </c>
      <c r="D8" s="7" t="s">
        <v>218</v>
      </c>
      <c r="E8" s="7" t="s">
        <v>17</v>
      </c>
      <c r="F8" s="7" t="s">
        <v>17</v>
      </c>
      <c r="G8" s="7" t="s">
        <v>232</v>
      </c>
      <c r="H8" s="7" t="s">
        <v>233</v>
      </c>
    </row>
    <row r="9" spans="2:8" ht="15.75" thickBot="1" x14ac:dyDescent="0.3">
      <c r="B9" s="6" t="s">
        <v>234</v>
      </c>
      <c r="C9" s="7" t="s">
        <v>235</v>
      </c>
      <c r="D9" s="7" t="s">
        <v>218</v>
      </c>
      <c r="E9" s="7" t="s">
        <v>17</v>
      </c>
      <c r="F9" s="7" t="s">
        <v>17</v>
      </c>
      <c r="G9" s="7" t="s">
        <v>236</v>
      </c>
      <c r="H9" s="7" t="s">
        <v>237</v>
      </c>
    </row>
    <row r="10" spans="2:8" ht="15.75" thickBot="1" x14ac:dyDescent="0.3">
      <c r="B10" s="6" t="s">
        <v>238</v>
      </c>
      <c r="C10" s="7" t="s">
        <v>239</v>
      </c>
      <c r="D10" s="7" t="s">
        <v>240</v>
      </c>
      <c r="E10" s="7" t="s">
        <v>17</v>
      </c>
      <c r="F10" s="7" t="s">
        <v>17</v>
      </c>
      <c r="G10" s="7" t="s">
        <v>241</v>
      </c>
      <c r="H10" s="7" t="s">
        <v>242</v>
      </c>
    </row>
    <row r="11" spans="2:8" ht="15.75" thickBot="1" x14ac:dyDescent="0.3">
      <c r="B11" s="6" t="s">
        <v>243</v>
      </c>
      <c r="C11" s="7" t="s">
        <v>244</v>
      </c>
      <c r="D11" s="7" t="s">
        <v>218</v>
      </c>
      <c r="E11" s="7" t="s">
        <v>17</v>
      </c>
      <c r="F11" s="7" t="s">
        <v>17</v>
      </c>
      <c r="G11" s="7" t="s">
        <v>245</v>
      </c>
      <c r="H11" s="7" t="s">
        <v>246</v>
      </c>
    </row>
    <row r="12" spans="2:8" ht="15.75" thickBot="1" x14ac:dyDescent="0.3">
      <c r="B12" s="6" t="s">
        <v>247</v>
      </c>
      <c r="C12" s="7" t="s">
        <v>244</v>
      </c>
      <c r="D12" s="7" t="s">
        <v>218</v>
      </c>
      <c r="E12" s="7" t="s">
        <v>17</v>
      </c>
      <c r="F12" s="7" t="s">
        <v>17</v>
      </c>
      <c r="G12" s="7" t="s">
        <v>245</v>
      </c>
      <c r="H12" s="7" t="s">
        <v>248</v>
      </c>
    </row>
    <row r="13" spans="2:8" ht="15.75" thickBot="1" x14ac:dyDescent="0.3">
      <c r="B13" s="6" t="s">
        <v>249</v>
      </c>
      <c r="C13" s="7" t="s">
        <v>250</v>
      </c>
      <c r="D13" s="7" t="s">
        <v>251</v>
      </c>
      <c r="E13" s="7" t="s">
        <v>17</v>
      </c>
      <c r="F13" s="7" t="s">
        <v>17</v>
      </c>
      <c r="G13" s="7" t="s">
        <v>252</v>
      </c>
      <c r="H13" s="7" t="s">
        <v>253</v>
      </c>
    </row>
    <row r="14" spans="2:8" ht="15.75" thickBot="1" x14ac:dyDescent="0.3">
      <c r="B14" s="6" t="s">
        <v>254</v>
      </c>
      <c r="C14" s="7" t="s">
        <v>244</v>
      </c>
      <c r="D14" s="7" t="s">
        <v>218</v>
      </c>
      <c r="E14" s="7" t="s">
        <v>17</v>
      </c>
      <c r="F14" s="7" t="s">
        <v>17</v>
      </c>
      <c r="G14" s="7" t="s">
        <v>245</v>
      </c>
      <c r="H14" s="7" t="s">
        <v>255</v>
      </c>
    </row>
    <row r="15" spans="2:8" ht="15.75" thickBot="1" x14ac:dyDescent="0.3">
      <c r="B15" s="6" t="s">
        <v>256</v>
      </c>
      <c r="C15" s="7" t="s">
        <v>244</v>
      </c>
      <c r="D15" s="7" t="s">
        <v>218</v>
      </c>
      <c r="E15" s="7" t="s">
        <v>17</v>
      </c>
      <c r="F15" s="7" t="s">
        <v>17</v>
      </c>
      <c r="G15" s="7" t="s">
        <v>257</v>
      </c>
      <c r="H15" s="7" t="s">
        <v>258</v>
      </c>
    </row>
    <row r="16" spans="2:8" ht="15.75" thickBot="1" x14ac:dyDescent="0.3">
      <c r="B16" s="6" t="s">
        <v>259</v>
      </c>
      <c r="C16" s="7" t="s">
        <v>260</v>
      </c>
      <c r="D16" s="7" t="s">
        <v>218</v>
      </c>
      <c r="E16" s="7" t="s">
        <v>17</v>
      </c>
      <c r="F16" s="7" t="s">
        <v>17</v>
      </c>
      <c r="G16" s="7" t="s">
        <v>261</v>
      </c>
      <c r="H16" s="7" t="s">
        <v>262</v>
      </c>
    </row>
    <row r="17" spans="2:8" ht="15.75" thickBot="1" x14ac:dyDescent="0.3">
      <c r="B17" s="6" t="s">
        <v>263</v>
      </c>
      <c r="C17" s="7" t="s">
        <v>264</v>
      </c>
      <c r="D17" s="7" t="s">
        <v>265</v>
      </c>
      <c r="E17" s="7" t="s">
        <v>17</v>
      </c>
      <c r="F17" s="7" t="s">
        <v>17</v>
      </c>
      <c r="G17" s="7" t="s">
        <v>266</v>
      </c>
      <c r="H17" s="7" t="s">
        <v>267</v>
      </c>
    </row>
    <row r="18" spans="2:8" ht="15.75" thickBot="1" x14ac:dyDescent="0.3">
      <c r="B18" s="6" t="s">
        <v>268</v>
      </c>
      <c r="C18" s="7" t="s">
        <v>269</v>
      </c>
      <c r="D18" s="7" t="s">
        <v>218</v>
      </c>
      <c r="E18" s="7" t="s">
        <v>17</v>
      </c>
      <c r="F18" s="7" t="s">
        <v>17</v>
      </c>
      <c r="G18" s="7" t="s">
        <v>270</v>
      </c>
      <c r="H18" s="7" t="s">
        <v>271</v>
      </c>
    </row>
    <row r="19" spans="2:8" ht="15.75" thickBot="1" x14ac:dyDescent="0.3">
      <c r="B19" s="6" t="s">
        <v>272</v>
      </c>
      <c r="C19" s="7" t="s">
        <v>273</v>
      </c>
      <c r="D19" s="7" t="s">
        <v>274</v>
      </c>
      <c r="E19" s="7" t="s">
        <v>17</v>
      </c>
      <c r="F19" s="7" t="s">
        <v>17</v>
      </c>
      <c r="G19" s="7" t="s">
        <v>266</v>
      </c>
      <c r="H19" s="7" t="s">
        <v>275</v>
      </c>
    </row>
    <row r="20" spans="2:8" ht="15.75" thickBot="1" x14ac:dyDescent="0.3">
      <c r="B20" s="6" t="s">
        <v>276</v>
      </c>
      <c r="C20" s="7" t="s">
        <v>277</v>
      </c>
      <c r="D20" s="7" t="s">
        <v>218</v>
      </c>
      <c r="E20" s="7" t="s">
        <v>17</v>
      </c>
      <c r="F20" s="7" t="s">
        <v>17</v>
      </c>
      <c r="G20" s="7" t="s">
        <v>278</v>
      </c>
      <c r="H20" s="7" t="s">
        <v>279</v>
      </c>
    </row>
    <row r="21" spans="2:8" ht="15.75" thickBot="1" x14ac:dyDescent="0.3">
      <c r="B21" s="6" t="s">
        <v>280</v>
      </c>
      <c r="C21" s="7" t="s">
        <v>231</v>
      </c>
      <c r="D21" s="7" t="s">
        <v>218</v>
      </c>
      <c r="E21" s="7" t="s">
        <v>17</v>
      </c>
      <c r="F21" s="7" t="s">
        <v>17</v>
      </c>
      <c r="G21" s="7" t="s">
        <v>281</v>
      </c>
      <c r="H21" s="7" t="s">
        <v>282</v>
      </c>
    </row>
    <row r="22" spans="2:8" ht="15.75" thickBot="1" x14ac:dyDescent="0.3">
      <c r="B22" s="6" t="s">
        <v>283</v>
      </c>
      <c r="C22" s="7" t="s">
        <v>231</v>
      </c>
      <c r="D22" s="7" t="s">
        <v>218</v>
      </c>
      <c r="E22" s="7" t="s">
        <v>17</v>
      </c>
      <c r="F22" s="7" t="s">
        <v>17</v>
      </c>
      <c r="G22" s="7" t="s">
        <v>241</v>
      </c>
      <c r="H22" s="7" t="s">
        <v>284</v>
      </c>
    </row>
    <row r="23" spans="2:8" ht="15.75" thickBot="1" x14ac:dyDescent="0.3">
      <c r="B23" s="6" t="s">
        <v>285</v>
      </c>
      <c r="C23" s="7" t="s">
        <v>231</v>
      </c>
      <c r="D23" s="7" t="s">
        <v>218</v>
      </c>
      <c r="E23" s="7" t="s">
        <v>17</v>
      </c>
      <c r="F23" s="7" t="s">
        <v>17</v>
      </c>
      <c r="G23" s="7" t="s">
        <v>286</v>
      </c>
      <c r="H23" s="7" t="s">
        <v>287</v>
      </c>
    </row>
    <row r="24" spans="2:8" ht="15.75" thickBot="1" x14ac:dyDescent="0.3">
      <c r="B24" s="6" t="s">
        <v>288</v>
      </c>
      <c r="C24" s="7" t="s">
        <v>231</v>
      </c>
      <c r="D24" s="7" t="s">
        <v>218</v>
      </c>
      <c r="E24" s="7" t="s">
        <v>17</v>
      </c>
      <c r="F24" s="7" t="s">
        <v>17</v>
      </c>
      <c r="G24" s="7" t="s">
        <v>289</v>
      </c>
      <c r="H24" s="7" t="s">
        <v>290</v>
      </c>
    </row>
    <row r="25" spans="2:8" ht="15.75" thickBot="1" x14ac:dyDescent="0.3">
      <c r="B25" s="6" t="s">
        <v>291</v>
      </c>
      <c r="C25" s="7" t="s">
        <v>292</v>
      </c>
      <c r="D25" s="7" t="s">
        <v>218</v>
      </c>
      <c r="E25" s="7" t="s">
        <v>17</v>
      </c>
      <c r="F25" s="7" t="s">
        <v>17</v>
      </c>
      <c r="G25" s="7" t="s">
        <v>293</v>
      </c>
      <c r="H25" s="7" t="s">
        <v>294</v>
      </c>
    </row>
    <row r="26" spans="2:8" ht="15.75" thickBot="1" x14ac:dyDescent="0.3">
      <c r="B26" s="6" t="s">
        <v>295</v>
      </c>
      <c r="C26" s="7" t="s">
        <v>292</v>
      </c>
      <c r="D26" s="7" t="s">
        <v>218</v>
      </c>
      <c r="E26" s="7" t="s">
        <v>17</v>
      </c>
      <c r="F26" s="7" t="s">
        <v>17</v>
      </c>
      <c r="G26" s="7" t="s">
        <v>296</v>
      </c>
      <c r="H26" s="7" t="s">
        <v>297</v>
      </c>
    </row>
    <row r="27" spans="2:8" ht="15.75" thickBot="1" x14ac:dyDescent="0.3">
      <c r="B27" s="6" t="s">
        <v>298</v>
      </c>
      <c r="C27" s="7" t="s">
        <v>292</v>
      </c>
      <c r="D27" s="7" t="s">
        <v>218</v>
      </c>
      <c r="E27" s="7" t="s">
        <v>17</v>
      </c>
      <c r="F27" s="7" t="s">
        <v>17</v>
      </c>
      <c r="G27" s="7" t="s">
        <v>299</v>
      </c>
      <c r="H27" s="7" t="s">
        <v>300</v>
      </c>
    </row>
    <row r="28" spans="2:8" ht="15.75" thickBot="1" x14ac:dyDescent="0.3">
      <c r="B28" s="6" t="s">
        <v>301</v>
      </c>
      <c r="C28" s="7" t="s">
        <v>292</v>
      </c>
      <c r="D28" s="7" t="s">
        <v>218</v>
      </c>
      <c r="E28" s="7" t="s">
        <v>17</v>
      </c>
      <c r="F28" s="7" t="s">
        <v>17</v>
      </c>
      <c r="G28" s="7" t="s">
        <v>236</v>
      </c>
      <c r="H28" s="7" t="s">
        <v>302</v>
      </c>
    </row>
    <row r="29" spans="2:8" ht="15.75" thickBot="1" x14ac:dyDescent="0.3">
      <c r="B29" s="6" t="s">
        <v>303</v>
      </c>
      <c r="C29" s="7" t="s">
        <v>292</v>
      </c>
      <c r="D29" s="7" t="s">
        <v>218</v>
      </c>
      <c r="E29" s="7" t="s">
        <v>17</v>
      </c>
      <c r="F29" s="7" t="s">
        <v>17</v>
      </c>
      <c r="G29" s="7" t="s">
        <v>236</v>
      </c>
      <c r="H29" s="7" t="s">
        <v>304</v>
      </c>
    </row>
    <row r="30" spans="2:8" ht="15.75" thickBot="1" x14ac:dyDescent="0.3">
      <c r="B30" s="6" t="s">
        <v>305</v>
      </c>
      <c r="C30" s="7" t="s">
        <v>306</v>
      </c>
      <c r="D30" s="7" t="s">
        <v>218</v>
      </c>
      <c r="E30" s="7" t="s">
        <v>17</v>
      </c>
      <c r="F30" s="7" t="s">
        <v>17</v>
      </c>
      <c r="G30" s="7" t="s">
        <v>307</v>
      </c>
      <c r="H30" s="7" t="s">
        <v>308</v>
      </c>
    </row>
    <row r="31" spans="2:8" ht="15.75" thickBot="1" x14ac:dyDescent="0.3">
      <c r="B31" s="6" t="s">
        <v>309</v>
      </c>
      <c r="C31" s="7" t="s">
        <v>310</v>
      </c>
      <c r="D31" s="7" t="s">
        <v>311</v>
      </c>
      <c r="E31" s="7" t="s">
        <v>17</v>
      </c>
      <c r="F31" s="7" t="s">
        <v>17</v>
      </c>
      <c r="G31" s="7" t="s">
        <v>312</v>
      </c>
      <c r="H31" s="7" t="s">
        <v>313</v>
      </c>
    </row>
    <row r="32" spans="2:8" ht="15.75" thickBot="1" x14ac:dyDescent="0.3">
      <c r="B32" s="6" t="s">
        <v>314</v>
      </c>
      <c r="C32" s="7" t="s">
        <v>310</v>
      </c>
      <c r="D32" s="7" t="s">
        <v>315</v>
      </c>
      <c r="E32" s="7" t="s">
        <v>17</v>
      </c>
      <c r="F32" s="7" t="s">
        <v>17</v>
      </c>
      <c r="G32" s="7" t="s">
        <v>252</v>
      </c>
      <c r="H32" s="7" t="s">
        <v>316</v>
      </c>
    </row>
    <row r="33" spans="2:8" ht="15.75" thickBot="1" x14ac:dyDescent="0.3">
      <c r="B33" s="6" t="s">
        <v>317</v>
      </c>
      <c r="C33" s="7" t="s">
        <v>310</v>
      </c>
      <c r="D33" s="7" t="s">
        <v>318</v>
      </c>
      <c r="E33" s="7" t="s">
        <v>17</v>
      </c>
      <c r="F33" s="7" t="s">
        <v>17</v>
      </c>
      <c r="G33" s="7" t="s">
        <v>252</v>
      </c>
      <c r="H33" s="7" t="s">
        <v>319</v>
      </c>
    </row>
    <row r="34" spans="2:8" ht="15.75" thickBot="1" x14ac:dyDescent="0.3">
      <c r="B34" s="6" t="s">
        <v>320</v>
      </c>
      <c r="C34" s="7" t="s">
        <v>321</v>
      </c>
      <c r="D34" s="7" t="s">
        <v>218</v>
      </c>
      <c r="E34" s="7" t="s">
        <v>17</v>
      </c>
      <c r="F34" s="7" t="s">
        <v>17</v>
      </c>
      <c r="G34" s="7" t="s">
        <v>236</v>
      </c>
      <c r="H34" s="7" t="s">
        <v>322</v>
      </c>
    </row>
    <row r="35" spans="2:8" ht="15.75" thickBot="1" x14ac:dyDescent="0.3">
      <c r="B35" s="6" t="s">
        <v>323</v>
      </c>
      <c r="C35" s="7" t="s">
        <v>324</v>
      </c>
      <c r="D35" s="7" t="s">
        <v>227</v>
      </c>
      <c r="E35" s="7" t="s">
        <v>17</v>
      </c>
      <c r="F35" s="7" t="s">
        <v>17</v>
      </c>
      <c r="G35" s="7" t="s">
        <v>266</v>
      </c>
      <c r="H35" s="7" t="s">
        <v>325</v>
      </c>
    </row>
    <row r="36" spans="2:8" ht="15.75" thickBot="1" x14ac:dyDescent="0.3">
      <c r="B36" s="6" t="s">
        <v>326</v>
      </c>
      <c r="C36" s="7" t="s">
        <v>327</v>
      </c>
      <c r="D36" s="7" t="s">
        <v>218</v>
      </c>
      <c r="E36" s="7" t="s">
        <v>17</v>
      </c>
      <c r="F36" s="7" t="s">
        <v>17</v>
      </c>
      <c r="G36" s="7" t="s">
        <v>328</v>
      </c>
      <c r="H36" s="7" t="s">
        <v>329</v>
      </c>
    </row>
    <row r="37" spans="2:8" ht="15.75" thickBot="1" x14ac:dyDescent="0.3">
      <c r="B37" s="6" t="s">
        <v>330</v>
      </c>
      <c r="C37" s="7" t="s">
        <v>327</v>
      </c>
      <c r="D37" s="7" t="s">
        <v>218</v>
      </c>
      <c r="E37" s="7" t="s">
        <v>17</v>
      </c>
      <c r="F37" s="7" t="s">
        <v>17</v>
      </c>
      <c r="G37" s="7" t="s">
        <v>328</v>
      </c>
      <c r="H37" s="7" t="s">
        <v>331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E5B79-CFB8-420A-99A3-BBEC0BEA9DBA}">
  <dimension ref="A1:G70"/>
  <sheetViews>
    <sheetView zoomScale="77" zoomScaleNormal="77" workbookViewId="0">
      <selection activeCell="G70" sqref="A2:G70"/>
    </sheetView>
  </sheetViews>
  <sheetFormatPr defaultRowHeight="15" x14ac:dyDescent="0.25"/>
  <cols>
    <col min="1" max="1" width="28.5703125" bestFit="1" customWidth="1"/>
    <col min="2" max="2" width="57.7109375" bestFit="1" customWidth="1"/>
    <col min="3" max="3" width="17.85546875" bestFit="1" customWidth="1"/>
    <col min="4" max="4" width="8.5703125" bestFit="1" customWidth="1"/>
    <col min="5" max="5" width="8.85546875" bestFit="1" customWidth="1"/>
    <col min="6" max="6" width="18.5703125" bestFit="1" customWidth="1"/>
    <col min="7" max="7" width="47.28515625" bestFit="1" customWidth="1"/>
  </cols>
  <sheetData>
    <row r="1" spans="1:7" ht="15.75" thickBot="1" x14ac:dyDescent="0.3">
      <c r="A1" s="6" t="s">
        <v>0</v>
      </c>
      <c r="B1" s="6" t="s">
        <v>1</v>
      </c>
      <c r="C1" s="6" t="s">
        <v>2</v>
      </c>
      <c r="D1" s="6" t="s">
        <v>203</v>
      </c>
      <c r="E1" s="6" t="s">
        <v>204</v>
      </c>
      <c r="F1" s="6" t="s">
        <v>205</v>
      </c>
      <c r="G1" s="6" t="s">
        <v>6</v>
      </c>
    </row>
    <row r="2" spans="1:7" ht="15.75" thickBot="1" x14ac:dyDescent="0.3">
      <c r="A2" s="6" t="s">
        <v>332</v>
      </c>
      <c r="B2" s="7" t="s">
        <v>333</v>
      </c>
      <c r="C2" s="7" t="s">
        <v>334</v>
      </c>
      <c r="D2" s="7" t="s">
        <v>17</v>
      </c>
      <c r="E2" s="7" t="s">
        <v>17</v>
      </c>
      <c r="F2" s="7" t="s">
        <v>241</v>
      </c>
      <c r="G2" s="7" t="s">
        <v>335</v>
      </c>
    </row>
    <row r="3" spans="1:7" ht="15.75" thickBot="1" x14ac:dyDescent="0.3">
      <c r="A3" s="6" t="s">
        <v>336</v>
      </c>
      <c r="B3" s="7" t="s">
        <v>337</v>
      </c>
      <c r="C3" s="7" t="s">
        <v>218</v>
      </c>
      <c r="D3" s="7" t="s">
        <v>17</v>
      </c>
      <c r="E3" s="7" t="s">
        <v>17</v>
      </c>
      <c r="F3" s="7" t="s">
        <v>338</v>
      </c>
      <c r="G3" s="7" t="s">
        <v>339</v>
      </c>
    </row>
    <row r="4" spans="1:7" ht="15.75" thickBot="1" x14ac:dyDescent="0.3">
      <c r="A4" s="6" t="s">
        <v>340</v>
      </c>
      <c r="B4" s="7" t="s">
        <v>341</v>
      </c>
      <c r="C4" s="7" t="s">
        <v>342</v>
      </c>
      <c r="D4" s="7" t="s">
        <v>17</v>
      </c>
      <c r="E4" s="7" t="s">
        <v>17</v>
      </c>
      <c r="F4" s="7" t="s">
        <v>343</v>
      </c>
      <c r="G4" s="7" t="s">
        <v>344</v>
      </c>
    </row>
    <row r="5" spans="1:7" ht="15.75" thickBot="1" x14ac:dyDescent="0.3">
      <c r="A5" s="6" t="s">
        <v>345</v>
      </c>
      <c r="B5" s="7" t="s">
        <v>346</v>
      </c>
      <c r="C5" s="7" t="s">
        <v>218</v>
      </c>
      <c r="D5" s="7" t="s">
        <v>17</v>
      </c>
      <c r="E5" s="7" t="s">
        <v>17</v>
      </c>
      <c r="F5" s="7" t="s">
        <v>347</v>
      </c>
      <c r="G5" s="7" t="s">
        <v>348</v>
      </c>
    </row>
    <row r="6" spans="1:7" ht="15.75" thickBot="1" x14ac:dyDescent="0.3">
      <c r="A6" s="6" t="s">
        <v>349</v>
      </c>
      <c r="B6" s="7" t="s">
        <v>350</v>
      </c>
      <c r="C6" s="7" t="s">
        <v>218</v>
      </c>
      <c r="D6" s="7" t="s">
        <v>17</v>
      </c>
      <c r="E6" s="7" t="s">
        <v>17</v>
      </c>
      <c r="F6" s="7" t="s">
        <v>351</v>
      </c>
      <c r="G6" s="7" t="s">
        <v>352</v>
      </c>
    </row>
    <row r="7" spans="1:7" ht="15.75" thickBot="1" x14ac:dyDescent="0.3">
      <c r="A7" s="6" t="s">
        <v>353</v>
      </c>
      <c r="B7" s="7" t="s">
        <v>354</v>
      </c>
      <c r="C7" s="7" t="s">
        <v>218</v>
      </c>
      <c r="D7" s="7" t="s">
        <v>17</v>
      </c>
      <c r="E7" s="7" t="s">
        <v>17</v>
      </c>
      <c r="F7" s="7" t="s">
        <v>355</v>
      </c>
      <c r="G7" s="7" t="s">
        <v>356</v>
      </c>
    </row>
    <row r="8" spans="1:7" ht="15.75" thickBot="1" x14ac:dyDescent="0.3">
      <c r="A8" s="6" t="s">
        <v>357</v>
      </c>
      <c r="B8" s="7" t="s">
        <v>358</v>
      </c>
      <c r="C8" s="7" t="s">
        <v>227</v>
      </c>
      <c r="D8" s="7" t="s">
        <v>17</v>
      </c>
      <c r="E8" s="7" t="s">
        <v>17</v>
      </c>
      <c r="F8" s="7" t="s">
        <v>351</v>
      </c>
      <c r="G8" s="7" t="s">
        <v>359</v>
      </c>
    </row>
    <row r="9" spans="1:7" ht="15.75" thickBot="1" x14ac:dyDescent="0.3">
      <c r="A9" s="6" t="s">
        <v>360</v>
      </c>
      <c r="B9" s="7" t="s">
        <v>361</v>
      </c>
      <c r="C9" s="7" t="s">
        <v>218</v>
      </c>
      <c r="D9" s="7" t="s">
        <v>17</v>
      </c>
      <c r="E9" s="7" t="s">
        <v>17</v>
      </c>
      <c r="F9" s="7" t="s">
        <v>362</v>
      </c>
      <c r="G9" s="7" t="s">
        <v>363</v>
      </c>
    </row>
    <row r="10" spans="1:7" ht="15.75" thickBot="1" x14ac:dyDescent="0.3">
      <c r="A10" s="6" t="s">
        <v>364</v>
      </c>
      <c r="B10" s="7" t="s">
        <v>365</v>
      </c>
      <c r="C10" s="7" t="s">
        <v>218</v>
      </c>
      <c r="D10" s="7" t="s">
        <v>17</v>
      </c>
      <c r="E10" s="7" t="s">
        <v>17</v>
      </c>
      <c r="F10" s="7" t="s">
        <v>241</v>
      </c>
      <c r="G10" s="7" t="s">
        <v>366</v>
      </c>
    </row>
    <row r="11" spans="1:7" ht="15.75" thickBot="1" x14ac:dyDescent="0.3">
      <c r="A11" s="6" t="s">
        <v>367</v>
      </c>
      <c r="B11" s="7" t="s">
        <v>368</v>
      </c>
      <c r="C11" s="7" t="s">
        <v>218</v>
      </c>
      <c r="D11" s="7" t="s">
        <v>17</v>
      </c>
      <c r="E11" s="7" t="s">
        <v>17</v>
      </c>
      <c r="F11" s="7" t="s">
        <v>369</v>
      </c>
      <c r="G11" s="7" t="s">
        <v>370</v>
      </c>
    </row>
    <row r="12" spans="1:7" ht="15.75" thickBot="1" x14ac:dyDescent="0.3">
      <c r="A12" s="6" t="s">
        <v>371</v>
      </c>
      <c r="B12" s="7" t="s">
        <v>436</v>
      </c>
      <c r="C12" s="7" t="s">
        <v>218</v>
      </c>
      <c r="D12" s="7" t="s">
        <v>17</v>
      </c>
      <c r="E12" s="7" t="s">
        <v>17</v>
      </c>
      <c r="F12" s="7" t="s">
        <v>372</v>
      </c>
      <c r="G12" s="7" t="s">
        <v>373</v>
      </c>
    </row>
    <row r="13" spans="1:7" ht="15.75" thickBot="1" x14ac:dyDescent="0.3">
      <c r="A13" s="6" t="s">
        <v>374</v>
      </c>
      <c r="B13" s="7" t="s">
        <v>437</v>
      </c>
      <c r="C13" s="7" t="s">
        <v>218</v>
      </c>
      <c r="D13" s="7" t="s">
        <v>17</v>
      </c>
      <c r="E13" s="7" t="s">
        <v>17</v>
      </c>
      <c r="F13" s="7" t="s">
        <v>347</v>
      </c>
      <c r="G13" s="7" t="s">
        <v>375</v>
      </c>
    </row>
    <row r="14" spans="1:7" ht="15.75" thickBot="1" x14ac:dyDescent="0.3">
      <c r="A14" s="6" t="s">
        <v>376</v>
      </c>
      <c r="B14" s="7" t="s">
        <v>377</v>
      </c>
      <c r="C14" s="7" t="s">
        <v>218</v>
      </c>
      <c r="D14" s="7" t="s">
        <v>17</v>
      </c>
      <c r="E14" s="7" t="s">
        <v>17</v>
      </c>
      <c r="F14" s="7" t="s">
        <v>378</v>
      </c>
      <c r="G14" s="7" t="s">
        <v>379</v>
      </c>
    </row>
    <row r="15" spans="1:7" ht="15.75" thickBot="1" x14ac:dyDescent="0.3">
      <c r="A15" s="6" t="s">
        <v>53</v>
      </c>
      <c r="B15" s="7" t="s">
        <v>380</v>
      </c>
      <c r="C15" s="7" t="s">
        <v>218</v>
      </c>
      <c r="D15" s="7" t="s">
        <v>17</v>
      </c>
      <c r="E15" s="7" t="s">
        <v>17</v>
      </c>
      <c r="F15" s="7" t="s">
        <v>381</v>
      </c>
      <c r="G15" s="7" t="s">
        <v>382</v>
      </c>
    </row>
    <row r="16" spans="1:7" ht="15.75" thickBot="1" x14ac:dyDescent="0.3">
      <c r="A16" s="6" t="s">
        <v>383</v>
      </c>
      <c r="B16" s="7" t="s">
        <v>39</v>
      </c>
      <c r="C16" s="7" t="s">
        <v>218</v>
      </c>
      <c r="D16" s="7" t="s">
        <v>17</v>
      </c>
      <c r="E16" s="7" t="s">
        <v>17</v>
      </c>
      <c r="F16" s="7" t="s">
        <v>307</v>
      </c>
      <c r="G16" s="7" t="s">
        <v>384</v>
      </c>
    </row>
    <row r="17" spans="1:7" ht="15.75" thickBot="1" x14ac:dyDescent="0.3">
      <c r="A17" s="6" t="s">
        <v>438</v>
      </c>
      <c r="B17" s="7" t="s">
        <v>385</v>
      </c>
      <c r="C17" s="7" t="s">
        <v>218</v>
      </c>
      <c r="D17" s="7" t="s">
        <v>17</v>
      </c>
      <c r="E17" s="7" t="s">
        <v>17</v>
      </c>
      <c r="F17" s="7" t="s">
        <v>252</v>
      </c>
      <c r="G17" s="7" t="s">
        <v>386</v>
      </c>
    </row>
    <row r="18" spans="1:7" ht="15.75" thickBot="1" x14ac:dyDescent="0.3">
      <c r="A18" s="6" t="s">
        <v>387</v>
      </c>
      <c r="B18" s="8" t="s">
        <v>435</v>
      </c>
      <c r="C18" s="7" t="s">
        <v>218</v>
      </c>
      <c r="D18" s="7" t="s">
        <v>17</v>
      </c>
      <c r="E18" s="7" t="s">
        <v>17</v>
      </c>
      <c r="F18" s="7" t="s">
        <v>252</v>
      </c>
      <c r="G18" s="7" t="s">
        <v>388</v>
      </c>
    </row>
    <row r="19" spans="1:7" ht="15.75" thickBot="1" x14ac:dyDescent="0.3">
      <c r="A19" s="6" t="s">
        <v>389</v>
      </c>
      <c r="B19" s="7" t="s">
        <v>390</v>
      </c>
      <c r="C19" s="7" t="s">
        <v>218</v>
      </c>
      <c r="D19" s="7" t="s">
        <v>17</v>
      </c>
      <c r="E19" s="7" t="s">
        <v>17</v>
      </c>
      <c r="F19" s="7" t="s">
        <v>391</v>
      </c>
      <c r="G19" s="7" t="s">
        <v>392</v>
      </c>
    </row>
    <row r="20" spans="1:7" ht="15.75" thickBot="1" x14ac:dyDescent="0.3">
      <c r="A20" s="6" t="s">
        <v>393</v>
      </c>
      <c r="B20" s="7" t="s">
        <v>390</v>
      </c>
      <c r="C20" s="7" t="s">
        <v>394</v>
      </c>
      <c r="D20" s="7" t="s">
        <v>17</v>
      </c>
      <c r="E20" s="7" t="s">
        <v>17</v>
      </c>
      <c r="F20" s="7" t="s">
        <v>391</v>
      </c>
      <c r="G20" s="7" t="s">
        <v>395</v>
      </c>
    </row>
    <row r="21" spans="1:7" ht="15.75" thickBot="1" x14ac:dyDescent="0.3">
      <c r="A21" s="6" t="s">
        <v>396</v>
      </c>
      <c r="B21" s="7" t="s">
        <v>390</v>
      </c>
      <c r="C21" s="7" t="s">
        <v>397</v>
      </c>
      <c r="D21" s="7" t="s">
        <v>17</v>
      </c>
      <c r="E21" s="7" t="s">
        <v>17</v>
      </c>
      <c r="F21" s="7" t="s">
        <v>391</v>
      </c>
      <c r="G21" s="7" t="s">
        <v>398</v>
      </c>
    </row>
    <row r="22" spans="1:7" ht="15.75" thickBot="1" x14ac:dyDescent="0.3">
      <c r="A22" s="6" t="s">
        <v>399</v>
      </c>
      <c r="B22" s="7" t="s">
        <v>390</v>
      </c>
      <c r="C22" s="7" t="s">
        <v>400</v>
      </c>
      <c r="D22" s="7" t="s">
        <v>17</v>
      </c>
      <c r="E22" s="7" t="s">
        <v>17</v>
      </c>
      <c r="F22" s="7" t="s">
        <v>391</v>
      </c>
      <c r="G22" s="7" t="s">
        <v>401</v>
      </c>
    </row>
    <row r="23" spans="1:7" ht="15.75" thickBot="1" x14ac:dyDescent="0.3">
      <c r="A23" s="6" t="s">
        <v>402</v>
      </c>
      <c r="B23" s="7" t="s">
        <v>439</v>
      </c>
      <c r="C23" s="7" t="s">
        <v>218</v>
      </c>
      <c r="D23" s="7" t="s">
        <v>17</v>
      </c>
      <c r="E23" s="7" t="s">
        <v>17</v>
      </c>
      <c r="F23" s="7" t="s">
        <v>252</v>
      </c>
      <c r="G23" s="7" t="s">
        <v>403</v>
      </c>
    </row>
    <row r="24" spans="1:7" ht="15.75" thickBot="1" x14ac:dyDescent="0.3">
      <c r="A24" s="6" t="s">
        <v>404</v>
      </c>
      <c r="B24" s="7" t="s">
        <v>440</v>
      </c>
      <c r="C24" s="7" t="s">
        <v>218</v>
      </c>
      <c r="D24" s="7" t="s">
        <v>17</v>
      </c>
      <c r="E24" s="7" t="s">
        <v>17</v>
      </c>
      <c r="F24" s="7" t="s">
        <v>252</v>
      </c>
      <c r="G24" s="7" t="s">
        <v>405</v>
      </c>
    </row>
    <row r="25" spans="1:7" ht="15.75" thickBot="1" x14ac:dyDescent="0.3">
      <c r="A25" s="6" t="s">
        <v>406</v>
      </c>
      <c r="B25" s="7" t="s">
        <v>441</v>
      </c>
      <c r="C25" s="7" t="s">
        <v>218</v>
      </c>
      <c r="D25" s="7" t="s">
        <v>17</v>
      </c>
      <c r="E25" s="7" t="s">
        <v>17</v>
      </c>
      <c r="F25" s="7" t="s">
        <v>245</v>
      </c>
      <c r="G25" s="7" t="s">
        <v>407</v>
      </c>
    </row>
    <row r="26" spans="1:7" ht="15.75" thickBot="1" x14ac:dyDescent="0.3">
      <c r="A26" s="6" t="s">
        <v>408</v>
      </c>
      <c r="B26" s="7" t="s">
        <v>442</v>
      </c>
      <c r="C26" s="7" t="s">
        <v>218</v>
      </c>
      <c r="D26" s="7" t="s">
        <v>17</v>
      </c>
      <c r="E26" s="7" t="s">
        <v>17</v>
      </c>
      <c r="F26" s="7" t="s">
        <v>245</v>
      </c>
      <c r="G26" s="7" t="s">
        <v>409</v>
      </c>
    </row>
    <row r="27" spans="1:7" ht="15.75" thickBot="1" x14ac:dyDescent="0.3">
      <c r="A27" s="6" t="s">
        <v>410</v>
      </c>
      <c r="B27" s="7" t="s">
        <v>443</v>
      </c>
      <c r="C27" s="7" t="s">
        <v>218</v>
      </c>
      <c r="D27" s="7" t="s">
        <v>17</v>
      </c>
      <c r="E27" s="7" t="s">
        <v>17</v>
      </c>
      <c r="F27" s="7" t="s">
        <v>245</v>
      </c>
      <c r="G27" s="7" t="s">
        <v>411</v>
      </c>
    </row>
    <row r="28" spans="1:7" ht="15.75" thickBot="1" x14ac:dyDescent="0.3">
      <c r="A28" s="6" t="s">
        <v>412</v>
      </c>
      <c r="B28" s="7" t="s">
        <v>444</v>
      </c>
      <c r="C28" s="7" t="s">
        <v>413</v>
      </c>
      <c r="D28" s="7" t="s">
        <v>17</v>
      </c>
      <c r="E28" s="7" t="s">
        <v>17</v>
      </c>
      <c r="F28" s="7" t="s">
        <v>245</v>
      </c>
      <c r="G28" s="7" t="s">
        <v>414</v>
      </c>
    </row>
    <row r="29" spans="1:7" ht="15.75" thickBot="1" x14ac:dyDescent="0.3">
      <c r="A29" s="6" t="s">
        <v>415</v>
      </c>
      <c r="B29" s="7" t="s">
        <v>445</v>
      </c>
      <c r="C29" s="7" t="s">
        <v>218</v>
      </c>
      <c r="D29" s="7" t="s">
        <v>17</v>
      </c>
      <c r="E29" s="7" t="s">
        <v>17</v>
      </c>
      <c r="F29" s="7" t="s">
        <v>245</v>
      </c>
      <c r="G29" s="7" t="s">
        <v>416</v>
      </c>
    </row>
    <row r="30" spans="1:7" ht="15.75" thickBot="1" x14ac:dyDescent="0.3">
      <c r="A30" s="6" t="s">
        <v>417</v>
      </c>
      <c r="B30" s="9" t="s">
        <v>446</v>
      </c>
      <c r="C30" s="7" t="s">
        <v>218</v>
      </c>
      <c r="D30" s="7" t="s">
        <v>17</v>
      </c>
      <c r="E30" s="7" t="s">
        <v>17</v>
      </c>
      <c r="F30" s="7" t="s">
        <v>245</v>
      </c>
      <c r="G30" s="7" t="s">
        <v>418</v>
      </c>
    </row>
    <row r="31" spans="1:7" ht="15.75" thickBot="1" x14ac:dyDescent="0.3">
      <c r="A31" s="6" t="s">
        <v>419</v>
      </c>
      <c r="B31" s="7" t="s">
        <v>447</v>
      </c>
      <c r="C31" s="7" t="s">
        <v>218</v>
      </c>
      <c r="D31" s="7" t="s">
        <v>17</v>
      </c>
      <c r="E31" s="7" t="s">
        <v>17</v>
      </c>
      <c r="F31" s="7" t="s">
        <v>245</v>
      </c>
      <c r="G31" s="7" t="s">
        <v>420</v>
      </c>
    </row>
    <row r="32" spans="1:7" ht="15.75" thickBot="1" x14ac:dyDescent="0.3">
      <c r="A32" s="6" t="s">
        <v>421</v>
      </c>
      <c r="B32" s="7" t="s">
        <v>448</v>
      </c>
      <c r="C32" s="7" t="s">
        <v>218</v>
      </c>
      <c r="D32" s="7" t="s">
        <v>17</v>
      </c>
      <c r="E32" s="7" t="s">
        <v>17</v>
      </c>
      <c r="F32" s="7" t="s">
        <v>245</v>
      </c>
      <c r="G32" s="7" t="s">
        <v>422</v>
      </c>
    </row>
    <row r="33" spans="1:7" ht="15.75" thickBot="1" x14ac:dyDescent="0.3">
      <c r="A33" s="6" t="s">
        <v>423</v>
      </c>
      <c r="B33" s="7" t="s">
        <v>449</v>
      </c>
      <c r="C33" s="7" t="s">
        <v>218</v>
      </c>
      <c r="D33" s="7" t="s">
        <v>17</v>
      </c>
      <c r="E33" s="7" t="s">
        <v>17</v>
      </c>
      <c r="F33" s="7" t="s">
        <v>245</v>
      </c>
      <c r="G33" s="7" t="s">
        <v>424</v>
      </c>
    </row>
    <row r="34" spans="1:7" ht="15.75" thickBot="1" x14ac:dyDescent="0.3">
      <c r="A34" s="6" t="s">
        <v>425</v>
      </c>
      <c r="B34" s="7" t="s">
        <v>450</v>
      </c>
      <c r="C34" s="7" t="s">
        <v>218</v>
      </c>
      <c r="D34" s="7" t="s">
        <v>17</v>
      </c>
      <c r="E34" s="7" t="s">
        <v>17</v>
      </c>
      <c r="F34" s="7" t="s">
        <v>426</v>
      </c>
      <c r="G34" s="7" t="s">
        <v>427</v>
      </c>
    </row>
    <row r="35" spans="1:7" ht="15.75" thickBot="1" x14ac:dyDescent="0.3">
      <c r="A35" s="6" t="s">
        <v>428</v>
      </c>
      <c r="B35" s="7" t="s">
        <v>451</v>
      </c>
      <c r="C35" s="7" t="s">
        <v>429</v>
      </c>
      <c r="D35" s="7" t="s">
        <v>17</v>
      </c>
      <c r="E35" s="7" t="s">
        <v>17</v>
      </c>
      <c r="F35" s="7" t="s">
        <v>430</v>
      </c>
      <c r="G35" s="7" t="s">
        <v>431</v>
      </c>
    </row>
    <row r="36" spans="1:7" ht="15.75" thickBot="1" x14ac:dyDescent="0.3">
      <c r="A36" s="6" t="s">
        <v>432</v>
      </c>
      <c r="B36" s="7" t="s">
        <v>452</v>
      </c>
      <c r="C36" s="7" t="s">
        <v>218</v>
      </c>
      <c r="D36" s="7" t="s">
        <v>17</v>
      </c>
      <c r="E36" s="7" t="s">
        <v>17</v>
      </c>
      <c r="F36" s="7" t="s">
        <v>433</v>
      </c>
      <c r="G36" s="7" t="s">
        <v>434</v>
      </c>
    </row>
    <row r="37" spans="1:7" ht="15.75" thickBot="1" x14ac:dyDescent="0.3">
      <c r="A37" s="6" t="s">
        <v>206</v>
      </c>
      <c r="B37" s="7" t="s">
        <v>207</v>
      </c>
      <c r="C37" s="7" t="s">
        <v>208</v>
      </c>
      <c r="D37" s="7" t="s">
        <v>17</v>
      </c>
      <c r="E37" s="7" t="s">
        <v>17</v>
      </c>
      <c r="F37" s="7" t="s">
        <v>209</v>
      </c>
      <c r="G37" s="7" t="s">
        <v>210</v>
      </c>
    </row>
    <row r="38" spans="1:7" ht="15.75" thickBot="1" x14ac:dyDescent="0.3">
      <c r="A38" s="6" t="s">
        <v>211</v>
      </c>
      <c r="B38" s="7" t="s">
        <v>212</v>
      </c>
      <c r="C38" s="7" t="s">
        <v>213</v>
      </c>
      <c r="D38" s="7" t="s">
        <v>17</v>
      </c>
      <c r="E38" s="7" t="s">
        <v>17</v>
      </c>
      <c r="F38" s="7" t="s">
        <v>214</v>
      </c>
      <c r="G38" s="7" t="s">
        <v>215</v>
      </c>
    </row>
    <row r="39" spans="1:7" ht="15.75" thickBot="1" x14ac:dyDescent="0.3">
      <c r="A39" s="6" t="s">
        <v>216</v>
      </c>
      <c r="B39" s="7" t="s">
        <v>217</v>
      </c>
      <c r="C39" s="7" t="s">
        <v>218</v>
      </c>
      <c r="D39" s="7" t="s">
        <v>17</v>
      </c>
      <c r="E39" s="7" t="s">
        <v>17</v>
      </c>
      <c r="F39" s="7" t="s">
        <v>219</v>
      </c>
      <c r="G39" s="7" t="s">
        <v>220</v>
      </c>
    </row>
    <row r="40" spans="1:7" ht="15.75" thickBot="1" x14ac:dyDescent="0.3">
      <c r="A40" s="6" t="s">
        <v>221</v>
      </c>
      <c r="B40" s="7" t="s">
        <v>222</v>
      </c>
      <c r="C40" s="7" t="s">
        <v>218</v>
      </c>
      <c r="D40" s="7" t="s">
        <v>17</v>
      </c>
      <c r="E40" s="7" t="s">
        <v>17</v>
      </c>
      <c r="F40" s="7" t="s">
        <v>223</v>
      </c>
      <c r="G40" s="7" t="s">
        <v>224</v>
      </c>
    </row>
    <row r="41" spans="1:7" ht="15.75" thickBot="1" x14ac:dyDescent="0.3">
      <c r="A41" s="6" t="s">
        <v>225</v>
      </c>
      <c r="B41" s="7" t="s">
        <v>226</v>
      </c>
      <c r="C41" s="7" t="s">
        <v>227</v>
      </c>
      <c r="D41" s="7" t="s">
        <v>17</v>
      </c>
      <c r="E41" s="7" t="s">
        <v>17</v>
      </c>
      <c r="F41" s="7" t="s">
        <v>228</v>
      </c>
      <c r="G41" s="7" t="s">
        <v>229</v>
      </c>
    </row>
    <row r="42" spans="1:7" ht="15.75" thickBot="1" x14ac:dyDescent="0.3">
      <c r="A42" s="6" t="s">
        <v>230</v>
      </c>
      <c r="B42" s="7" t="s">
        <v>231</v>
      </c>
      <c r="C42" s="7" t="s">
        <v>218</v>
      </c>
      <c r="D42" s="7" t="s">
        <v>17</v>
      </c>
      <c r="E42" s="7" t="s">
        <v>17</v>
      </c>
      <c r="F42" s="7" t="s">
        <v>232</v>
      </c>
      <c r="G42" s="7" t="s">
        <v>233</v>
      </c>
    </row>
    <row r="43" spans="1:7" ht="15.75" thickBot="1" x14ac:dyDescent="0.3">
      <c r="A43" s="6" t="s">
        <v>234</v>
      </c>
      <c r="B43" s="7" t="s">
        <v>235</v>
      </c>
      <c r="C43" s="7" t="s">
        <v>218</v>
      </c>
      <c r="D43" s="7" t="s">
        <v>17</v>
      </c>
      <c r="E43" s="7" t="s">
        <v>17</v>
      </c>
      <c r="F43" s="7" t="s">
        <v>236</v>
      </c>
      <c r="G43" s="7" t="s">
        <v>237</v>
      </c>
    </row>
    <row r="44" spans="1:7" ht="15.75" thickBot="1" x14ac:dyDescent="0.3">
      <c r="A44" s="6" t="s">
        <v>238</v>
      </c>
      <c r="B44" s="7" t="s">
        <v>239</v>
      </c>
      <c r="C44" s="7" t="s">
        <v>240</v>
      </c>
      <c r="D44" s="7" t="s">
        <v>17</v>
      </c>
      <c r="E44" s="7" t="s">
        <v>17</v>
      </c>
      <c r="F44" s="7" t="s">
        <v>241</v>
      </c>
      <c r="G44" s="7" t="s">
        <v>242</v>
      </c>
    </row>
    <row r="45" spans="1:7" ht="15.75" thickBot="1" x14ac:dyDescent="0.3">
      <c r="A45" s="6" t="s">
        <v>243</v>
      </c>
      <c r="B45" s="7" t="s">
        <v>244</v>
      </c>
      <c r="C45" s="7" t="s">
        <v>218</v>
      </c>
      <c r="D45" s="7" t="s">
        <v>17</v>
      </c>
      <c r="E45" s="7" t="s">
        <v>17</v>
      </c>
      <c r="F45" s="7" t="s">
        <v>245</v>
      </c>
      <c r="G45" s="7" t="s">
        <v>246</v>
      </c>
    </row>
    <row r="46" spans="1:7" ht="15.75" thickBot="1" x14ac:dyDescent="0.3">
      <c r="A46" s="6" t="s">
        <v>247</v>
      </c>
      <c r="B46" s="7" t="s">
        <v>244</v>
      </c>
      <c r="C46" s="7" t="s">
        <v>218</v>
      </c>
      <c r="D46" s="7" t="s">
        <v>17</v>
      </c>
      <c r="E46" s="7" t="s">
        <v>17</v>
      </c>
      <c r="F46" s="7" t="s">
        <v>245</v>
      </c>
      <c r="G46" s="7" t="s">
        <v>248</v>
      </c>
    </row>
    <row r="47" spans="1:7" ht="15.75" thickBot="1" x14ac:dyDescent="0.3">
      <c r="A47" s="6" t="s">
        <v>254</v>
      </c>
      <c r="B47" s="7" t="s">
        <v>244</v>
      </c>
      <c r="C47" s="7" t="s">
        <v>218</v>
      </c>
      <c r="D47" s="7" t="s">
        <v>17</v>
      </c>
      <c r="E47" s="7" t="s">
        <v>17</v>
      </c>
      <c r="F47" s="7" t="s">
        <v>245</v>
      </c>
      <c r="G47" s="7" t="s">
        <v>255</v>
      </c>
    </row>
    <row r="48" spans="1:7" ht="15.75" thickBot="1" x14ac:dyDescent="0.3">
      <c r="A48" s="6" t="s">
        <v>256</v>
      </c>
      <c r="B48" s="7" t="s">
        <v>244</v>
      </c>
      <c r="C48" s="7" t="s">
        <v>218</v>
      </c>
      <c r="D48" s="7" t="s">
        <v>17</v>
      </c>
      <c r="E48" s="7" t="s">
        <v>17</v>
      </c>
      <c r="F48" s="7" t="s">
        <v>257</v>
      </c>
      <c r="G48" s="7" t="s">
        <v>258</v>
      </c>
    </row>
    <row r="49" spans="1:7" ht="15.75" thickBot="1" x14ac:dyDescent="0.3">
      <c r="A49" s="6" t="s">
        <v>259</v>
      </c>
      <c r="B49" s="7" t="s">
        <v>453</v>
      </c>
      <c r="C49" s="7" t="s">
        <v>218</v>
      </c>
      <c r="D49" s="7" t="s">
        <v>17</v>
      </c>
      <c r="E49" s="7" t="s">
        <v>17</v>
      </c>
      <c r="F49" s="7" t="s">
        <v>261</v>
      </c>
      <c r="G49" s="7" t="s">
        <v>262</v>
      </c>
    </row>
    <row r="50" spans="1:7" ht="15.75" thickBot="1" x14ac:dyDescent="0.3">
      <c r="A50" s="6" t="s">
        <v>263</v>
      </c>
      <c r="B50" s="7" t="s">
        <v>454</v>
      </c>
      <c r="C50" s="7" t="s">
        <v>265</v>
      </c>
      <c r="D50" s="7" t="s">
        <v>17</v>
      </c>
      <c r="E50" s="7" t="s">
        <v>17</v>
      </c>
      <c r="F50" s="7" t="s">
        <v>266</v>
      </c>
      <c r="G50" s="7" t="s">
        <v>267</v>
      </c>
    </row>
    <row r="51" spans="1:7" ht="15.75" thickBot="1" x14ac:dyDescent="0.3">
      <c r="A51" s="6" t="s">
        <v>268</v>
      </c>
      <c r="B51" s="7" t="s">
        <v>455</v>
      </c>
      <c r="C51" s="7" t="s">
        <v>218</v>
      </c>
      <c r="D51" s="7" t="s">
        <v>17</v>
      </c>
      <c r="E51" s="7" t="s">
        <v>17</v>
      </c>
      <c r="F51" s="7" t="s">
        <v>270</v>
      </c>
      <c r="G51" s="7" t="s">
        <v>271</v>
      </c>
    </row>
    <row r="52" spans="1:7" ht="15.75" thickBot="1" x14ac:dyDescent="0.3">
      <c r="A52" s="6" t="s">
        <v>272</v>
      </c>
      <c r="B52" s="7" t="s">
        <v>456</v>
      </c>
      <c r="C52" s="7" t="s">
        <v>274</v>
      </c>
      <c r="D52" s="7" t="s">
        <v>17</v>
      </c>
      <c r="E52" s="7" t="s">
        <v>17</v>
      </c>
      <c r="F52" s="7" t="s">
        <v>266</v>
      </c>
      <c r="G52" s="7" t="s">
        <v>275</v>
      </c>
    </row>
    <row r="53" spans="1:7" ht="15.75" thickBot="1" x14ac:dyDescent="0.3">
      <c r="A53" s="6" t="s">
        <v>276</v>
      </c>
      <c r="B53" s="7" t="s">
        <v>457</v>
      </c>
      <c r="C53" s="7" t="s">
        <v>218</v>
      </c>
      <c r="D53" s="7" t="s">
        <v>17</v>
      </c>
      <c r="E53" s="7" t="s">
        <v>17</v>
      </c>
      <c r="F53" s="7" t="s">
        <v>278</v>
      </c>
      <c r="G53" s="7" t="s">
        <v>279</v>
      </c>
    </row>
    <row r="54" spans="1:7" ht="15.75" thickBot="1" x14ac:dyDescent="0.3">
      <c r="A54" s="6" t="s">
        <v>280</v>
      </c>
      <c r="B54" s="7" t="s">
        <v>458</v>
      </c>
      <c r="C54" s="7" t="s">
        <v>218</v>
      </c>
      <c r="D54" s="7" t="s">
        <v>17</v>
      </c>
      <c r="E54" s="7" t="s">
        <v>17</v>
      </c>
      <c r="F54" s="7" t="s">
        <v>281</v>
      </c>
      <c r="G54" s="7" t="s">
        <v>282</v>
      </c>
    </row>
    <row r="55" spans="1:7" ht="15.75" thickBot="1" x14ac:dyDescent="0.3">
      <c r="A55" s="6" t="s">
        <v>283</v>
      </c>
      <c r="B55" s="7" t="s">
        <v>459</v>
      </c>
      <c r="C55" s="7" t="s">
        <v>218</v>
      </c>
      <c r="D55" s="7" t="s">
        <v>17</v>
      </c>
      <c r="E55" s="7" t="s">
        <v>17</v>
      </c>
      <c r="F55" s="7" t="s">
        <v>241</v>
      </c>
      <c r="G55" s="7" t="s">
        <v>284</v>
      </c>
    </row>
    <row r="56" spans="1:7" ht="15.75" thickBot="1" x14ac:dyDescent="0.3">
      <c r="A56" s="6" t="s">
        <v>285</v>
      </c>
      <c r="B56" s="7" t="s">
        <v>460</v>
      </c>
      <c r="C56" s="7" t="s">
        <v>218</v>
      </c>
      <c r="D56" s="7" t="s">
        <v>17</v>
      </c>
      <c r="E56" s="7" t="s">
        <v>17</v>
      </c>
      <c r="F56" s="7" t="s">
        <v>286</v>
      </c>
      <c r="G56" s="7" t="s">
        <v>287</v>
      </c>
    </row>
    <row r="57" spans="1:7" ht="15.75" thickBot="1" x14ac:dyDescent="0.3">
      <c r="A57" s="6" t="s">
        <v>288</v>
      </c>
      <c r="B57" s="7" t="s">
        <v>461</v>
      </c>
      <c r="C57" s="7" t="s">
        <v>218</v>
      </c>
      <c r="D57" s="7" t="s">
        <v>17</v>
      </c>
      <c r="E57" s="7" t="s">
        <v>17</v>
      </c>
      <c r="F57" s="7" t="s">
        <v>289</v>
      </c>
      <c r="G57" s="7" t="s">
        <v>290</v>
      </c>
    </row>
    <row r="58" spans="1:7" ht="15.75" thickBot="1" x14ac:dyDescent="0.3">
      <c r="A58" s="6" t="s">
        <v>291</v>
      </c>
      <c r="B58" s="7" t="s">
        <v>462</v>
      </c>
      <c r="C58" s="7" t="s">
        <v>218</v>
      </c>
      <c r="D58" s="7" t="s">
        <v>17</v>
      </c>
      <c r="E58" s="7" t="s">
        <v>17</v>
      </c>
      <c r="F58" s="7" t="s">
        <v>293</v>
      </c>
      <c r="G58" s="7" t="s">
        <v>294</v>
      </c>
    </row>
    <row r="59" spans="1:7" ht="15.75" thickBot="1" x14ac:dyDescent="0.3">
      <c r="A59" s="6" t="s">
        <v>295</v>
      </c>
      <c r="B59" s="7" t="s">
        <v>292</v>
      </c>
      <c r="C59" s="7" t="s">
        <v>218</v>
      </c>
      <c r="D59" s="7" t="s">
        <v>17</v>
      </c>
      <c r="E59" s="7" t="s">
        <v>17</v>
      </c>
      <c r="F59" s="7" t="s">
        <v>296</v>
      </c>
      <c r="G59" s="7" t="s">
        <v>297</v>
      </c>
    </row>
    <row r="60" spans="1:7" ht="15.75" thickBot="1" x14ac:dyDescent="0.3">
      <c r="A60" s="6" t="s">
        <v>298</v>
      </c>
      <c r="B60" s="7" t="s">
        <v>292</v>
      </c>
      <c r="C60" s="7" t="s">
        <v>218</v>
      </c>
      <c r="D60" s="7" t="s">
        <v>17</v>
      </c>
      <c r="E60" s="7" t="s">
        <v>17</v>
      </c>
      <c r="F60" s="7" t="s">
        <v>299</v>
      </c>
      <c r="G60" s="7" t="s">
        <v>300</v>
      </c>
    </row>
    <row r="61" spans="1:7" ht="15.75" thickBot="1" x14ac:dyDescent="0.3">
      <c r="A61" s="6" t="s">
        <v>301</v>
      </c>
      <c r="B61" s="7" t="s">
        <v>292</v>
      </c>
      <c r="C61" s="7" t="s">
        <v>218</v>
      </c>
      <c r="D61" s="7" t="s">
        <v>17</v>
      </c>
      <c r="E61" s="7" t="s">
        <v>17</v>
      </c>
      <c r="F61" s="7" t="s">
        <v>236</v>
      </c>
      <c r="G61" s="7" t="s">
        <v>302</v>
      </c>
    </row>
    <row r="62" spans="1:7" ht="15.75" thickBot="1" x14ac:dyDescent="0.3">
      <c r="A62" s="6" t="s">
        <v>303</v>
      </c>
      <c r="B62" s="7" t="s">
        <v>292</v>
      </c>
      <c r="C62" s="7" t="s">
        <v>218</v>
      </c>
      <c r="D62" s="7" t="s">
        <v>17</v>
      </c>
      <c r="E62" s="7" t="s">
        <v>17</v>
      </c>
      <c r="F62" s="7" t="s">
        <v>236</v>
      </c>
      <c r="G62" s="7" t="s">
        <v>304</v>
      </c>
    </row>
    <row r="63" spans="1:7" ht="15.75" thickBot="1" x14ac:dyDescent="0.3">
      <c r="A63" s="6" t="s">
        <v>305</v>
      </c>
      <c r="B63" s="7" t="s">
        <v>463</v>
      </c>
      <c r="C63" s="7" t="s">
        <v>218</v>
      </c>
      <c r="D63" s="7" t="s">
        <v>17</v>
      </c>
      <c r="E63" s="7" t="s">
        <v>17</v>
      </c>
      <c r="F63" s="7" t="s">
        <v>307</v>
      </c>
      <c r="G63" s="7" t="s">
        <v>308</v>
      </c>
    </row>
    <row r="64" spans="1:7" ht="15.75" thickBot="1" x14ac:dyDescent="0.3">
      <c r="A64" s="6" t="s">
        <v>309</v>
      </c>
      <c r="B64" s="7" t="s">
        <v>464</v>
      </c>
      <c r="C64" s="7" t="s">
        <v>311</v>
      </c>
      <c r="D64" s="7" t="s">
        <v>17</v>
      </c>
      <c r="E64" s="7" t="s">
        <v>17</v>
      </c>
      <c r="F64" s="7" t="s">
        <v>312</v>
      </c>
      <c r="G64" s="7" t="s">
        <v>313</v>
      </c>
    </row>
    <row r="65" spans="1:7" ht="15.75" thickBot="1" x14ac:dyDescent="0.3">
      <c r="A65" s="6" t="s">
        <v>314</v>
      </c>
      <c r="B65" s="7" t="s">
        <v>310</v>
      </c>
      <c r="C65" s="7" t="s">
        <v>315</v>
      </c>
      <c r="D65" s="7" t="s">
        <v>17</v>
      </c>
      <c r="E65" s="7" t="s">
        <v>17</v>
      </c>
      <c r="F65" s="7" t="s">
        <v>252</v>
      </c>
      <c r="G65" s="7" t="s">
        <v>316</v>
      </c>
    </row>
    <row r="66" spans="1:7" ht="15.75" thickBot="1" x14ac:dyDescent="0.3">
      <c r="A66" s="6" t="s">
        <v>317</v>
      </c>
      <c r="B66" s="7" t="s">
        <v>310</v>
      </c>
      <c r="C66" s="7" t="s">
        <v>318</v>
      </c>
      <c r="D66" s="7" t="s">
        <v>17</v>
      </c>
      <c r="E66" s="7" t="s">
        <v>17</v>
      </c>
      <c r="F66" s="7" t="s">
        <v>252</v>
      </c>
      <c r="G66" s="7" t="s">
        <v>319</v>
      </c>
    </row>
    <row r="67" spans="1:7" ht="15.75" thickBot="1" x14ac:dyDescent="0.3">
      <c r="A67" s="6" t="s">
        <v>320</v>
      </c>
      <c r="B67" s="7" t="s">
        <v>321</v>
      </c>
      <c r="C67" s="7" t="s">
        <v>218</v>
      </c>
      <c r="D67" s="7" t="s">
        <v>17</v>
      </c>
      <c r="E67" s="7" t="s">
        <v>17</v>
      </c>
      <c r="F67" s="7" t="s">
        <v>236</v>
      </c>
      <c r="G67" s="7" t="s">
        <v>322</v>
      </c>
    </row>
    <row r="68" spans="1:7" ht="15.75" thickBot="1" x14ac:dyDescent="0.3">
      <c r="A68" s="6" t="s">
        <v>323</v>
      </c>
      <c r="B68" s="7" t="s">
        <v>324</v>
      </c>
      <c r="C68" s="7" t="s">
        <v>227</v>
      </c>
      <c r="D68" s="7" t="s">
        <v>17</v>
      </c>
      <c r="E68" s="7" t="s">
        <v>17</v>
      </c>
      <c r="F68" s="7" t="s">
        <v>266</v>
      </c>
      <c r="G68" s="7" t="s">
        <v>325</v>
      </c>
    </row>
    <row r="69" spans="1:7" ht="15.75" thickBot="1" x14ac:dyDescent="0.3">
      <c r="A69" s="6" t="s">
        <v>326</v>
      </c>
      <c r="B69" s="7" t="s">
        <v>327</v>
      </c>
      <c r="C69" s="7" t="s">
        <v>218</v>
      </c>
      <c r="D69" s="7" t="s">
        <v>17</v>
      </c>
      <c r="E69" s="7" t="s">
        <v>17</v>
      </c>
      <c r="F69" s="7" t="s">
        <v>328</v>
      </c>
      <c r="G69" s="7" t="s">
        <v>329</v>
      </c>
    </row>
    <row r="70" spans="1:7" ht="15.75" thickBot="1" x14ac:dyDescent="0.3">
      <c r="A70" s="6" t="s">
        <v>330</v>
      </c>
      <c r="B70" s="7" t="s">
        <v>327</v>
      </c>
      <c r="C70" s="7" t="s">
        <v>218</v>
      </c>
      <c r="D70" s="7" t="s">
        <v>17</v>
      </c>
      <c r="E70" s="7" t="s">
        <v>17</v>
      </c>
      <c r="F70" s="7" t="s">
        <v>328</v>
      </c>
      <c r="G70" s="7" t="s">
        <v>331</v>
      </c>
    </row>
  </sheetData>
  <hyperlinks>
    <hyperlink ref="B18" r:id="rId1" xr:uid="{64AA734F-3C1B-4130-8D01-66E96C9812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Sheet6</vt:lpstr>
      <vt:lpstr>Sheet3</vt:lpstr>
      <vt:lpstr>Sheet2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y</dc:creator>
  <cp:lastModifiedBy>c y</cp:lastModifiedBy>
  <dcterms:created xsi:type="dcterms:W3CDTF">2026-02-19T06:29:25Z</dcterms:created>
  <dcterms:modified xsi:type="dcterms:W3CDTF">2026-03-02T22:10:47Z</dcterms:modified>
</cp:coreProperties>
</file>